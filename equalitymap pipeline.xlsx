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floy\OneDrive\Documents\GitHub\Equality-Compass\"/>
    </mc:Choice>
  </mc:AlternateContent>
  <xr:revisionPtr revIDLastSave="0" documentId="13_ncr:1_{204B3402-86DD-472F-B45F-3EB3DD7EA3DC}" xr6:coauthVersionLast="47" xr6:coauthVersionMax="47" xr10:uidLastSave="{00000000-0000-0000-0000-000000000000}"/>
  <bookViews>
    <workbookView xWindow="-110" yWindow="-110" windowWidth="38620" windowHeight="21820" xr2:uid="{B9A08836-13BB-442A-820F-7B3CD96E6041}"/>
  </bookViews>
  <sheets>
    <sheet name="State Data 2-13-202" sheetId="2" r:id="rId1"/>
    <sheet name="Score System" sheetId="7" r:id="rId2"/>
    <sheet name="Area Abbreviations" sheetId="8" r:id="rId3"/>
    <sheet name="Formatted Overall mix GI" sheetId="1" r:id="rId4"/>
    <sheet name="Gender Identity Scores" sheetId="3" r:id="rId5"/>
    <sheet name="Overall Tally Scores" sheetId="4" r:id="rId6"/>
  </sheets>
  <definedNames>
    <definedName name="_xlnm._FilterDatabase" localSheetId="3" hidden="1">'Formatted Overall mix GI'!$V$1:$V$113</definedName>
    <definedName name="ExternalData_1" localSheetId="1" hidden="1">'Score System'!$A$1:$D$8</definedName>
    <definedName name="ExternalData_1" localSheetId="0" hidden="1">'State Data 2-13-202'!$A$1:$M$113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4" l="1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0" i="4"/>
  <c r="A50" i="4"/>
  <c r="B49" i="4"/>
  <c r="D49" i="4" s="1"/>
  <c r="A49" i="4"/>
  <c r="B48" i="4"/>
  <c r="D48" i="4" s="1"/>
  <c r="A48" i="4"/>
  <c r="B47" i="4"/>
  <c r="D47" i="4" s="1"/>
  <c r="A47" i="4"/>
  <c r="B46" i="4"/>
  <c r="D46" i="4" s="1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D39" i="4" s="1"/>
  <c r="A39" i="4"/>
  <c r="B38" i="4"/>
  <c r="A38" i="4"/>
  <c r="B37" i="4"/>
  <c r="D37" i="4" s="1"/>
  <c r="A37" i="4"/>
  <c r="B36" i="4"/>
  <c r="A36" i="4"/>
  <c r="B35" i="4"/>
  <c r="D35" i="4" s="1"/>
  <c r="A35" i="4"/>
  <c r="B34" i="4"/>
  <c r="D34" i="4" s="1"/>
  <c r="A34" i="4"/>
  <c r="B33" i="4"/>
  <c r="D33" i="4" s="1"/>
  <c r="A33" i="4"/>
  <c r="B32" i="4"/>
  <c r="D32" i="4" s="1"/>
  <c r="A32" i="4"/>
  <c r="B31" i="4"/>
  <c r="D31" i="4" s="1"/>
  <c r="A31" i="4"/>
  <c r="B30" i="4"/>
  <c r="D30" i="4" s="1"/>
  <c r="A30" i="4"/>
  <c r="B29" i="4"/>
  <c r="D29" i="4" s="1"/>
  <c r="A29" i="4"/>
  <c r="B28" i="4"/>
  <c r="D28" i="4" s="1"/>
  <c r="A28" i="4"/>
  <c r="B27" i="4"/>
  <c r="D27" i="4" s="1"/>
  <c r="A27" i="4"/>
  <c r="B26" i="4"/>
  <c r="A26" i="4"/>
  <c r="B25" i="4"/>
  <c r="D25" i="4" s="1"/>
  <c r="A25" i="4"/>
  <c r="B24" i="4"/>
  <c r="D24" i="4" s="1"/>
  <c r="A24" i="4"/>
  <c r="B23" i="4"/>
  <c r="D23" i="4" s="1"/>
  <c r="A23" i="4"/>
  <c r="B22" i="4"/>
  <c r="D22" i="4" s="1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D15" i="4" s="1"/>
  <c r="A15" i="4"/>
  <c r="B14" i="4"/>
  <c r="A14" i="4"/>
  <c r="B13" i="4"/>
  <c r="D13" i="4" s="1"/>
  <c r="A13" i="4"/>
  <c r="B12" i="4"/>
  <c r="A12" i="4"/>
  <c r="C12" i="4" s="1"/>
  <c r="B10" i="4"/>
  <c r="D10" i="4" s="1"/>
  <c r="D11" i="4" s="1"/>
  <c r="A10" i="4"/>
  <c r="B9" i="4"/>
  <c r="D9" i="4" s="1"/>
  <c r="A9" i="4"/>
  <c r="B8" i="4"/>
  <c r="A8" i="4"/>
  <c r="B7" i="4"/>
  <c r="A7" i="4"/>
  <c r="B6" i="4"/>
  <c r="D6" i="4" s="1"/>
  <c r="A6" i="4"/>
  <c r="B5" i="4"/>
  <c r="A5" i="4"/>
  <c r="B4" i="4"/>
  <c r="D4" i="4" s="1"/>
  <c r="A4" i="4"/>
  <c r="B3" i="4"/>
  <c r="D3" i="4" s="1"/>
  <c r="A3" i="4"/>
  <c r="B2" i="4"/>
  <c r="D2" i="4" s="1"/>
  <c r="A2" i="4"/>
  <c r="D1" i="4"/>
  <c r="A1" i="4"/>
  <c r="D59" i="4"/>
  <c r="D58" i="4"/>
  <c r="D57" i="4"/>
  <c r="D56" i="4"/>
  <c r="D55" i="4"/>
  <c r="D54" i="4"/>
  <c r="D53" i="4"/>
  <c r="D50" i="4"/>
  <c r="D52" i="4" s="1"/>
  <c r="D45" i="4"/>
  <c r="D44" i="4"/>
  <c r="D43" i="4"/>
  <c r="D42" i="4"/>
  <c r="D41" i="4"/>
  <c r="D40" i="4"/>
  <c r="D38" i="4"/>
  <c r="D36" i="4"/>
  <c r="D26" i="4"/>
  <c r="D21" i="4"/>
  <c r="D20" i="4"/>
  <c r="D19" i="4"/>
  <c r="D18" i="4"/>
  <c r="D17" i="4"/>
  <c r="D16" i="4"/>
  <c r="D14" i="4"/>
  <c r="D12" i="4"/>
  <c r="D8" i="4"/>
  <c r="D7" i="4"/>
  <c r="D5" i="4"/>
  <c r="B52" i="4"/>
  <c r="C46" i="4"/>
  <c r="A72" i="1"/>
  <c r="A34" i="1"/>
  <c r="A26" i="1"/>
  <c r="A24" i="1"/>
  <c r="A22" i="1"/>
  <c r="C10" i="4" s="1"/>
  <c r="A20" i="1"/>
  <c r="A4" i="1"/>
  <c r="A3" i="1"/>
  <c r="A5" i="1"/>
  <c r="A6" i="1" s="1"/>
  <c r="C2" i="4" s="1"/>
  <c r="A7" i="1"/>
  <c r="A8" i="1" s="1"/>
  <c r="C3" i="4" s="1"/>
  <c r="A9" i="1"/>
  <c r="A10" i="1" s="1"/>
  <c r="C4" i="4" s="1"/>
  <c r="A11" i="1"/>
  <c r="A12" i="1" s="1"/>
  <c r="C5" i="4" s="1"/>
  <c r="A13" i="1"/>
  <c r="A14" i="1" s="1"/>
  <c r="C6" i="4" s="1"/>
  <c r="A15" i="1"/>
  <c r="A16" i="1" s="1"/>
  <c r="A17" i="1"/>
  <c r="A18" i="1" s="1"/>
  <c r="A19" i="1"/>
  <c r="A21" i="1"/>
  <c r="A23" i="1"/>
  <c r="A25" i="1"/>
  <c r="A27" i="1"/>
  <c r="A29" i="1"/>
  <c r="A30" i="1" s="1"/>
  <c r="A31" i="1"/>
  <c r="A32" i="1" s="1"/>
  <c r="A33" i="1"/>
  <c r="A35" i="1"/>
  <c r="A36" i="1" s="1"/>
  <c r="C18" i="4" s="1"/>
  <c r="A37" i="1"/>
  <c r="A38" i="1" s="1"/>
  <c r="C19" i="4" s="1"/>
  <c r="A39" i="1"/>
  <c r="A40" i="1" s="1"/>
  <c r="C20" i="4" s="1"/>
  <c r="A41" i="1"/>
  <c r="A42" i="1" s="1"/>
  <c r="C21" i="4" s="1"/>
  <c r="A43" i="1"/>
  <c r="A45" i="1"/>
  <c r="A47" i="1"/>
  <c r="A49" i="1"/>
  <c r="A51" i="1"/>
  <c r="A52" i="1" s="1"/>
  <c r="C26" i="4" s="1"/>
  <c r="A53" i="1"/>
  <c r="A54" i="1" s="1"/>
  <c r="A55" i="1"/>
  <c r="A56" i="1" s="1"/>
  <c r="A57" i="1"/>
  <c r="A58" i="1" s="1"/>
  <c r="A59" i="1"/>
  <c r="A60" i="1" s="1"/>
  <c r="A61" i="1"/>
  <c r="A62" i="1" s="1"/>
  <c r="A63" i="1"/>
  <c r="A64" i="1" s="1"/>
  <c r="A65" i="1"/>
  <c r="A66" i="1" s="1"/>
  <c r="A67" i="1"/>
  <c r="A69" i="1"/>
  <c r="A71" i="1"/>
  <c r="A73" i="1"/>
  <c r="A75" i="1"/>
  <c r="A76" i="1" s="1"/>
  <c r="C38" i="4" s="1"/>
  <c r="A77" i="1"/>
  <c r="A78" i="1" s="1"/>
  <c r="A79" i="1"/>
  <c r="A80" i="1" s="1"/>
  <c r="A81" i="1"/>
  <c r="A82" i="1" s="1"/>
  <c r="A83" i="1"/>
  <c r="A84" i="1" s="1"/>
  <c r="C42" i="4" s="1"/>
  <c r="A85" i="1"/>
  <c r="A86" i="1" s="1"/>
  <c r="C43" i="4" s="1"/>
  <c r="A87" i="1"/>
  <c r="A88" i="1" s="1"/>
  <c r="C44" i="4" s="1"/>
  <c r="A89" i="1"/>
  <c r="A90" i="1" s="1"/>
  <c r="C45" i="4" s="1"/>
  <c r="A91" i="1"/>
  <c r="A92" i="1" s="1"/>
  <c r="A93" i="1"/>
  <c r="A95" i="1"/>
  <c r="A97" i="1"/>
  <c r="A99" i="1"/>
  <c r="A100" i="1" s="1"/>
  <c r="C50" i="4" s="1"/>
  <c r="A101" i="1"/>
  <c r="A102" i="1" s="1"/>
  <c r="C53" i="4" s="1"/>
  <c r="A103" i="1"/>
  <c r="A104" i="1" s="1"/>
  <c r="A105" i="1"/>
  <c r="A106" i="1" s="1"/>
  <c r="A107" i="1"/>
  <c r="A108" i="1" s="1"/>
  <c r="C56" i="4" s="1"/>
  <c r="A109" i="1"/>
  <c r="A110" i="1" s="1"/>
  <c r="C57" i="4" s="1"/>
  <c r="A111" i="1"/>
  <c r="A112" i="1" s="1"/>
  <c r="C58" i="4" s="1"/>
  <c r="A113" i="1"/>
  <c r="A114" i="1" s="1"/>
  <c r="C59" i="4" s="1"/>
  <c r="B59" i="3"/>
  <c r="D59" i="3" s="1"/>
  <c r="B58" i="3"/>
  <c r="D58" i="3" s="1"/>
  <c r="B57" i="3"/>
  <c r="D57" i="3" s="1"/>
  <c r="B56" i="3"/>
  <c r="B55" i="3"/>
  <c r="D55" i="3" s="1"/>
  <c r="B54" i="3"/>
  <c r="D54" i="3" s="1"/>
  <c r="B53" i="3"/>
  <c r="D53" i="3" s="1"/>
  <c r="B50" i="3"/>
  <c r="B52" i="3" s="1"/>
  <c r="B49" i="3"/>
  <c r="B48" i="3"/>
  <c r="D48" i="3" s="1"/>
  <c r="B47" i="3"/>
  <c r="D47" i="3" s="1"/>
  <c r="B46" i="3"/>
  <c r="D46" i="3" s="1"/>
  <c r="B45" i="3"/>
  <c r="D45" i="3" s="1"/>
  <c r="B44" i="3"/>
  <c r="D44" i="3" s="1"/>
  <c r="B43" i="3"/>
  <c r="D43" i="3" s="1"/>
  <c r="B42" i="3"/>
  <c r="D42" i="3" s="1"/>
  <c r="B41" i="3"/>
  <c r="D41" i="3" s="1"/>
  <c r="B40" i="3"/>
  <c r="D40" i="3" s="1"/>
  <c r="B39" i="3"/>
  <c r="D39" i="3" s="1"/>
  <c r="B38" i="3"/>
  <c r="D38" i="3" s="1"/>
  <c r="B37" i="3"/>
  <c r="D37" i="3" s="1"/>
  <c r="B36" i="3"/>
  <c r="D36" i="3" s="1"/>
  <c r="B35" i="3"/>
  <c r="D35" i="3" s="1"/>
  <c r="B34" i="3"/>
  <c r="D34" i="3" s="1"/>
  <c r="B33" i="3"/>
  <c r="D33" i="3" s="1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B26" i="3"/>
  <c r="D26" i="3" s="1"/>
  <c r="B25" i="3"/>
  <c r="B24" i="3"/>
  <c r="D24" i="3" s="1"/>
  <c r="B23" i="3"/>
  <c r="D23" i="3" s="1"/>
  <c r="B22" i="3"/>
  <c r="D22" i="3" s="1"/>
  <c r="B21" i="3"/>
  <c r="D21" i="3" s="1"/>
  <c r="B20" i="3"/>
  <c r="D20" i="3" s="1"/>
  <c r="B19" i="3"/>
  <c r="D19" i="3" s="1"/>
  <c r="B18" i="3"/>
  <c r="D18" i="3" s="1"/>
  <c r="B17" i="3"/>
  <c r="D17" i="3" s="1"/>
  <c r="B16" i="3"/>
  <c r="D16" i="3" s="1"/>
  <c r="B15" i="3"/>
  <c r="D15" i="3" s="1"/>
  <c r="B14" i="3"/>
  <c r="D14" i="3" s="1"/>
  <c r="B13" i="3"/>
  <c r="D13" i="3" s="1"/>
  <c r="B12" i="3"/>
  <c r="D12" i="3" s="1"/>
  <c r="B10" i="3"/>
  <c r="B11" i="3" s="1"/>
  <c r="B9" i="3"/>
  <c r="D9" i="3" s="1"/>
  <c r="B8" i="3"/>
  <c r="D8" i="3" s="1"/>
  <c r="B7" i="3"/>
  <c r="D7" i="3" s="1"/>
  <c r="B6" i="3"/>
  <c r="D6" i="3" s="1"/>
  <c r="B5" i="3"/>
  <c r="D5" i="3" s="1"/>
  <c r="B4" i="3"/>
  <c r="D4" i="3" s="1"/>
  <c r="B3" i="3"/>
  <c r="D3" i="3" s="1"/>
  <c r="B2" i="3"/>
  <c r="D2" i="3" s="1"/>
  <c r="B1" i="3"/>
  <c r="D1" i="3" s="1"/>
  <c r="D25" i="3"/>
  <c r="D49" i="3"/>
  <c r="D56" i="3"/>
  <c r="B13" i="7"/>
  <c r="D13" i="7"/>
  <c r="C13" i="4" l="1"/>
  <c r="C36" i="4"/>
  <c r="B11" i="4"/>
  <c r="C55" i="4"/>
  <c r="C54" i="4"/>
  <c r="C17" i="4"/>
  <c r="C41" i="4"/>
  <c r="C32" i="4"/>
  <c r="C16" i="4"/>
  <c r="C31" i="4"/>
  <c r="C39" i="4"/>
  <c r="C30" i="4"/>
  <c r="C29" i="4"/>
  <c r="C28" i="4"/>
  <c r="C15" i="4"/>
  <c r="C33" i="4"/>
  <c r="C27" i="4"/>
  <c r="C40" i="4"/>
  <c r="C1" i="4"/>
  <c r="D51" i="4"/>
  <c r="C8" i="4"/>
  <c r="C7" i="4"/>
  <c r="C9" i="4"/>
  <c r="B51" i="4"/>
  <c r="A44" i="1"/>
  <c r="C22" i="4" s="1"/>
  <c r="A46" i="1"/>
  <c r="C23" i="4" s="1"/>
  <c r="A68" i="1"/>
  <c r="C34" i="4" s="1"/>
  <c r="A98" i="1"/>
  <c r="C49" i="4" s="1"/>
  <c r="A70" i="1"/>
  <c r="C35" i="4" s="1"/>
  <c r="A74" i="1"/>
  <c r="C37" i="4" s="1"/>
  <c r="A28" i="1"/>
  <c r="C14" i="4" s="1"/>
  <c r="A94" i="1"/>
  <c r="C47" i="4" s="1"/>
  <c r="A48" i="1"/>
  <c r="C24" i="4" s="1"/>
  <c r="A96" i="1"/>
  <c r="C48" i="4" s="1"/>
  <c r="A50" i="1"/>
  <c r="C25" i="4" s="1"/>
  <c r="A13" i="3"/>
  <c r="C13" i="3" s="1"/>
  <c r="D10" i="3"/>
  <c r="D11" i="3" s="1"/>
  <c r="B51" i="3"/>
  <c r="A37" i="3"/>
  <c r="C37" i="3" s="1"/>
  <c r="A1" i="3"/>
  <c r="C1" i="3" s="1"/>
  <c r="D50" i="3"/>
  <c r="D51" i="3" s="1"/>
  <c r="A12" i="3"/>
  <c r="C12" i="3" s="1"/>
  <c r="A36" i="3"/>
  <c r="C36" i="3" s="1"/>
  <c r="A2" i="3"/>
  <c r="C2" i="3" s="1"/>
  <c r="A26" i="3"/>
  <c r="C26" i="3" s="1"/>
  <c r="A38" i="3"/>
  <c r="C38" i="3" s="1"/>
  <c r="A50" i="3"/>
  <c r="C50" i="3" s="1"/>
  <c r="A3" i="3"/>
  <c r="C3" i="3" s="1"/>
  <c r="A15" i="3"/>
  <c r="C15" i="3" s="1"/>
  <c r="A27" i="3"/>
  <c r="C27" i="3" s="1"/>
  <c r="A39" i="3"/>
  <c r="C39" i="3" s="1"/>
  <c r="A4" i="3"/>
  <c r="C4" i="3" s="1"/>
  <c r="A16" i="3"/>
  <c r="C16" i="3" s="1"/>
  <c r="A28" i="3"/>
  <c r="C28" i="3" s="1"/>
  <c r="A40" i="3"/>
  <c r="C40" i="3" s="1"/>
  <c r="A53" i="3"/>
  <c r="C53" i="3" s="1"/>
  <c r="A5" i="3"/>
  <c r="C5" i="3" s="1"/>
  <c r="A17" i="3"/>
  <c r="C17" i="3" s="1"/>
  <c r="A29" i="3"/>
  <c r="C29" i="3" s="1"/>
  <c r="A41" i="3"/>
  <c r="C41" i="3" s="1"/>
  <c r="A54" i="3"/>
  <c r="C54" i="3" s="1"/>
  <c r="A6" i="3"/>
  <c r="C6" i="3" s="1"/>
  <c r="A18" i="3"/>
  <c r="C18" i="3" s="1"/>
  <c r="A30" i="3"/>
  <c r="C30" i="3" s="1"/>
  <c r="A42" i="3"/>
  <c r="C42" i="3" s="1"/>
  <c r="A55" i="3"/>
  <c r="C55" i="3" s="1"/>
  <c r="A7" i="3"/>
  <c r="C7" i="3" s="1"/>
  <c r="A19" i="3"/>
  <c r="C19" i="3" s="1"/>
  <c r="A31" i="3"/>
  <c r="C31" i="3" s="1"/>
  <c r="A43" i="3"/>
  <c r="C43" i="3" s="1"/>
  <c r="A56" i="3"/>
  <c r="C56" i="3" s="1"/>
  <c r="A8" i="3"/>
  <c r="C8" i="3" s="1"/>
  <c r="A20" i="3"/>
  <c r="C20" i="3" s="1"/>
  <c r="A32" i="3"/>
  <c r="C32" i="3" s="1"/>
  <c r="A44" i="3"/>
  <c r="C44" i="3" s="1"/>
  <c r="A57" i="3"/>
  <c r="C57" i="3" s="1"/>
  <c r="A9" i="3"/>
  <c r="C9" i="3" s="1"/>
  <c r="A21" i="3"/>
  <c r="C21" i="3" s="1"/>
  <c r="A33" i="3"/>
  <c r="C33" i="3" s="1"/>
  <c r="A45" i="3"/>
  <c r="C45" i="3" s="1"/>
  <c r="A58" i="3"/>
  <c r="C58" i="3" s="1"/>
  <c r="A10" i="3"/>
  <c r="C10" i="3" s="1"/>
  <c r="A22" i="3"/>
  <c r="C22" i="3" s="1"/>
  <c r="A34" i="3"/>
  <c r="C34" i="3" s="1"/>
  <c r="A46" i="3"/>
  <c r="C46" i="3" s="1"/>
  <c r="A59" i="3"/>
  <c r="C59" i="3" s="1"/>
  <c r="A24" i="3" l="1"/>
  <c r="C24" i="3" s="1"/>
  <c r="A35" i="3"/>
  <c r="C35" i="3" s="1"/>
  <c r="A23" i="3"/>
  <c r="C23" i="3" s="1"/>
  <c r="A47" i="3"/>
  <c r="C47" i="3" s="1"/>
  <c r="H2" i="3" a="1"/>
  <c r="H2" i="3" s="1"/>
  <c r="H68" i="3" a="1"/>
  <c r="H68" i="3" s="1"/>
  <c r="H2" i="4" a="1"/>
  <c r="H2" i="4" s="1"/>
  <c r="A14" i="3"/>
  <c r="C14" i="3" s="1"/>
  <c r="A49" i="3"/>
  <c r="C49" i="3" s="1"/>
  <c r="A25" i="3"/>
  <c r="C25" i="3" s="1"/>
  <c r="A48" i="3"/>
  <c r="C48" i="3" s="1"/>
  <c r="D5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E6820D-3296-43B5-AB01-444371EF63D9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2" xr16:uid="{79CFD6F8-E6E9-4014-B11E-C11A876CA99B}" keepAlive="1" name="Query - Table 4" description="Connection to the 'Table 4' query in the workbook." type="5" refreshedVersion="8" background="1" saveData="1">
    <dbPr connection="Provider=Microsoft.Mashup.OleDb.1;Data Source=$Workbook$;Location=&quot;Table 4&quot;;Extended Properties=&quot;&quot;" command="SELECT * FROM [Table 4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<sst xmlns="http://schemas.openxmlformats.org/spreadsheetml/2006/main" count="1253" uniqueCount="322">
  <si>
    <t>Column1</t>
  </si>
  <si>
    <t>State</t>
  </si>
  <si>
    <t>_1</t>
  </si>
  <si>
    <t>Relationship andParental Recognition</t>
  </si>
  <si>
    <t>Non–Discrimination</t>
  </si>
  <si>
    <t>Religious Exemption Laws</t>
  </si>
  <si>
    <t>LGBT Youth</t>
  </si>
  <si>
    <t>Healthcare</t>
  </si>
  <si>
    <t>CriminalJustice</t>
  </si>
  <si>
    <t>IdentityDocuments</t>
  </si>
  <si>
    <t>Sexual Orientation Policy Tally</t>
  </si>
  <si>
    <t>Gender Identity Policy Tally</t>
  </si>
  <si>
    <t>Overall Tally</t>
  </si>
  <si>
    <t>Alabama</t>
  </si>
  <si>
    <t>SO</t>
  </si>
  <si>
    <t>1/7</t>
  </si>
  <si>
    <t>0/4.5</t>
  </si>
  <si>
    <t>-2/-3.5</t>
  </si>
  <si>
    <t>-1/5</t>
  </si>
  <si>
    <t>0/3.5</t>
  </si>
  <si>
    <t>0/3</t>
  </si>
  <si>
    <t>--</t>
  </si>
  <si>
    <t>GI</t>
  </si>
  <si>
    <t>0/1</t>
  </si>
  <si>
    <t>-1.5/4.5</t>
  </si>
  <si>
    <t>-2/-2.5</t>
  </si>
  <si>
    <t>-3.5/5</t>
  </si>
  <si>
    <t>-1/8.5</t>
  </si>
  <si>
    <t>-0.5/4</t>
  </si>
  <si>
    <t>Alaska</t>
  </si>
  <si>
    <t>1.75/4.5</t>
  </si>
  <si>
    <t>0/-3.5</t>
  </si>
  <si>
    <t>0.25/5</t>
  </si>
  <si>
    <t>0.5/3.5</t>
  </si>
  <si>
    <t>0.75/3</t>
  </si>
  <si>
    <t>0/-2.5</t>
  </si>
  <si>
    <t>-0.5/5</t>
  </si>
  <si>
    <t>1.5/8.5</t>
  </si>
  <si>
    <t>-0.25/3</t>
  </si>
  <si>
    <t>1.5/4</t>
  </si>
  <si>
    <t>American Samoa</t>
  </si>
  <si>
    <t>0/5</t>
  </si>
  <si>
    <t>0/8.5</t>
  </si>
  <si>
    <t>-1/4</t>
  </si>
  <si>
    <t>Arizona</t>
  </si>
  <si>
    <t>2/7</t>
  </si>
  <si>
    <t>2.75/4.5</t>
  </si>
  <si>
    <t>-1.5/-3.5</t>
  </si>
  <si>
    <t>0.75/5</t>
  </si>
  <si>
    <t>2/3</t>
  </si>
  <si>
    <t>1/1</t>
  </si>
  <si>
    <t>-1.5/-2.5</t>
  </si>
  <si>
    <t>-0.25/5</t>
  </si>
  <si>
    <t>-0.75/8.5</t>
  </si>
  <si>
    <t>1/4</t>
  </si>
  <si>
    <t>Arkansas</t>
  </si>
  <si>
    <t>-1/4.5</t>
  </si>
  <si>
    <t>-3.5/-3.5</t>
  </si>
  <si>
    <t>1/3.5</t>
  </si>
  <si>
    <t>-1/3</t>
  </si>
  <si>
    <t>-2/4.5</t>
  </si>
  <si>
    <t>-2.5/-2.5</t>
  </si>
  <si>
    <t>-2.75/5</t>
  </si>
  <si>
    <t>-1.5/8.5</t>
  </si>
  <si>
    <t>California</t>
  </si>
  <si>
    <t>7/7</t>
  </si>
  <si>
    <t>4.5/4.5</t>
  </si>
  <si>
    <t>5/5</t>
  </si>
  <si>
    <t>2.5/3.5</t>
  </si>
  <si>
    <t>2.75/3</t>
  </si>
  <si>
    <t>6/8.5</t>
  </si>
  <si>
    <t>4/4</t>
  </si>
  <si>
    <t>Colorado</t>
  </si>
  <si>
    <t>3/3.5</t>
  </si>
  <si>
    <t>3.75/4</t>
  </si>
  <si>
    <t>Connecticut</t>
  </si>
  <si>
    <t>6/7</t>
  </si>
  <si>
    <t>-0.5/-3.5</t>
  </si>
  <si>
    <t>4.5/5</t>
  </si>
  <si>
    <t>2.25/3.5</t>
  </si>
  <si>
    <t>-0.5/-2.5</t>
  </si>
  <si>
    <t>6.75/8.5</t>
  </si>
  <si>
    <t>Delaware</t>
  </si>
  <si>
    <t>3.75/7</t>
  </si>
  <si>
    <t>3.5/4.5</t>
  </si>
  <si>
    <t>2.5/5</t>
  </si>
  <si>
    <t>2.75/3.5</t>
  </si>
  <si>
    <t>1.5/3</t>
  </si>
  <si>
    <t>2/5</t>
  </si>
  <si>
    <t>6.5/8.5</t>
  </si>
  <si>
    <t>2.5/4</t>
  </si>
  <si>
    <t>District of Columbia</t>
  </si>
  <si>
    <t>5/7</t>
  </si>
  <si>
    <t>4/5</t>
  </si>
  <si>
    <t>7/8.5</t>
  </si>
  <si>
    <t>Florida</t>
  </si>
  <si>
    <t>0.5/3</t>
  </si>
  <si>
    <t>-2.5/5</t>
  </si>
  <si>
    <t>-2/8.5</t>
  </si>
  <si>
    <t>-0.5/3</t>
  </si>
  <si>
    <t>Georgia</t>
  </si>
  <si>
    <t>1.25/8.5</t>
  </si>
  <si>
    <t>-2.5/4</t>
  </si>
  <si>
    <t>Guam</t>
  </si>
  <si>
    <t>1.75/7</t>
  </si>
  <si>
    <t>1.5/4.5</t>
  </si>
  <si>
    <t>1/5</t>
  </si>
  <si>
    <t>0.5/8.5</t>
  </si>
  <si>
    <t>Hawaii</t>
  </si>
  <si>
    <t>4.5/7</t>
  </si>
  <si>
    <t>3.5/5</t>
  </si>
  <si>
    <t>1.5/3.5</t>
  </si>
  <si>
    <t>3/3</t>
  </si>
  <si>
    <t>4/8.5</t>
  </si>
  <si>
    <t>2.25/4</t>
  </si>
  <si>
    <t>Idaho</t>
  </si>
  <si>
    <t>0.75/4.5</t>
  </si>
  <si>
    <t>-2.5/-3.5</t>
  </si>
  <si>
    <t>-0.75/4.5</t>
  </si>
  <si>
    <t>-3.25/5</t>
  </si>
  <si>
    <t>-2.5/8.5</t>
  </si>
  <si>
    <t>-1.75/4</t>
  </si>
  <si>
    <t>Illinois</t>
  </si>
  <si>
    <t>3.5/3.5</t>
  </si>
  <si>
    <t>7.5/8.5</t>
  </si>
  <si>
    <t>Indiana</t>
  </si>
  <si>
    <t>3/7</t>
  </si>
  <si>
    <t>1.25/4.5</t>
  </si>
  <si>
    <t>0.5/4.5</t>
  </si>
  <si>
    <t>-3/5</t>
  </si>
  <si>
    <t>-1.5/4</t>
  </si>
  <si>
    <t>Iowa</t>
  </si>
  <si>
    <t>-0.25/4.5</t>
  </si>
  <si>
    <t>-2/5</t>
  </si>
  <si>
    <t>Kansas</t>
  </si>
  <si>
    <t>1/3</t>
  </si>
  <si>
    <t>-0.5/8.5</t>
  </si>
  <si>
    <t>Kentucky</t>
  </si>
  <si>
    <t>2.25/4.5</t>
  </si>
  <si>
    <t>-1.75/5</t>
  </si>
  <si>
    <t>-0.25/4</t>
  </si>
  <si>
    <t>Louisiana</t>
  </si>
  <si>
    <t>Maine</t>
  </si>
  <si>
    <t>Maryland</t>
  </si>
  <si>
    <t>5.75/7</t>
  </si>
  <si>
    <t>7.25/8.5</t>
  </si>
  <si>
    <t>3.25/4</t>
  </si>
  <si>
    <t>Massachusetts</t>
  </si>
  <si>
    <t>1.75/3.5</t>
  </si>
  <si>
    <t>Michigan</t>
  </si>
  <si>
    <t>4/7</t>
  </si>
  <si>
    <t>3/5</t>
  </si>
  <si>
    <t>2/3.5</t>
  </si>
  <si>
    <t>Minnesota</t>
  </si>
  <si>
    <t>5/8.5</t>
  </si>
  <si>
    <t>Mississippi</t>
  </si>
  <si>
    <t>0.5/5</t>
  </si>
  <si>
    <t>Missouri</t>
  </si>
  <si>
    <t>1/4.5</t>
  </si>
  <si>
    <t>Montana</t>
  </si>
  <si>
    <t>3.25/8.5</t>
  </si>
  <si>
    <t>-1.5/3</t>
  </si>
  <si>
    <t>Nebraska</t>
  </si>
  <si>
    <t>Nevada</t>
  </si>
  <si>
    <t>4.75/5</t>
  </si>
  <si>
    <t>4.5/8.5</t>
  </si>
  <si>
    <t>New Hampshire</t>
  </si>
  <si>
    <t>4.25/8.5</t>
  </si>
  <si>
    <t>New Jersey</t>
  </si>
  <si>
    <t>New Mexico</t>
  </si>
  <si>
    <t>New York</t>
  </si>
  <si>
    <t>North Carolina</t>
  </si>
  <si>
    <t>1.75/5</t>
  </si>
  <si>
    <t>0.5/4</t>
  </si>
  <si>
    <t>North Dakota</t>
  </si>
  <si>
    <t>2/4.5</t>
  </si>
  <si>
    <t>0/4</t>
  </si>
  <si>
    <t>Northern Mariana Islands</t>
  </si>
  <si>
    <t>Ohio</t>
  </si>
  <si>
    <t>-1/-3.5</t>
  </si>
  <si>
    <t>-1/-2.5</t>
  </si>
  <si>
    <t>0.75/4</t>
  </si>
  <si>
    <t>Oklahoma</t>
  </si>
  <si>
    <t>Oregon</t>
  </si>
  <si>
    <t>Pennsylvania</t>
  </si>
  <si>
    <t>Puerto Rico</t>
  </si>
  <si>
    <t>2.25/7</t>
  </si>
  <si>
    <t>3.25/5</t>
  </si>
  <si>
    <t>1/8.5</t>
  </si>
  <si>
    <t>3/4</t>
  </si>
  <si>
    <t>Rhode Island</t>
  </si>
  <si>
    <t>6.5/7</t>
  </si>
  <si>
    <t>South Carolina</t>
  </si>
  <si>
    <t>-4/5</t>
  </si>
  <si>
    <t>0.25/4</t>
  </si>
  <si>
    <t>South Dakota</t>
  </si>
  <si>
    <t>Tennessee</t>
  </si>
  <si>
    <t>-3/-3.5</t>
  </si>
  <si>
    <t>-1.25/3</t>
  </si>
  <si>
    <t>Texas</t>
  </si>
  <si>
    <t>-1.5/5</t>
  </si>
  <si>
    <t>-1.75/8.5</t>
  </si>
  <si>
    <t>U.S. Virgin Islands</t>
  </si>
  <si>
    <t>Utah</t>
  </si>
  <si>
    <t>2.5/4.5</t>
  </si>
  <si>
    <t>0.75/8.5</t>
  </si>
  <si>
    <t>1.25/4</t>
  </si>
  <si>
    <t>Vermont</t>
  </si>
  <si>
    <t>Virginia</t>
  </si>
  <si>
    <t>2.75/5</t>
  </si>
  <si>
    <t>Washington</t>
  </si>
  <si>
    <t>2.5/3</t>
  </si>
  <si>
    <t>West Virginia</t>
  </si>
  <si>
    <t>Wisconsin</t>
  </si>
  <si>
    <t>1.75/3</t>
  </si>
  <si>
    <t>Wyoming</t>
  </si>
  <si>
    <t>Overall</t>
  </si>
  <si>
    <t>Column2</t>
  </si>
  <si>
    <t>Column3</t>
  </si>
  <si>
    <t>Column4</t>
  </si>
  <si>
    <t>Category</t>
  </si>
  <si>
    <t>Sexual Orientation Tally</t>
  </si>
  <si>
    <t>Gender Identity Tally</t>
  </si>
  <si>
    <t>OVERALL Tally</t>
  </si>
  <si>
    <t>High(75-100% of points possible)</t>
  </si>
  <si>
    <t>17.25+</t>
  </si>
  <si>
    <t>19.5+</t>
  </si>
  <si>
    <t>36.75+</t>
  </si>
  <si>
    <t>Medium(50-74.9% OF POINTS POSSIBLE)</t>
  </si>
  <si>
    <t>11.5 to 17</t>
  </si>
  <si>
    <t>13 to 19.25</t>
  </si>
  <si>
    <t>24.5 to 36.5</t>
  </si>
  <si>
    <t>Fair(25-49.9% of points possible)</t>
  </si>
  <si>
    <t>5.75 to 11.25</t>
  </si>
  <si>
    <t>6 to 12.75</t>
  </si>
  <si>
    <t>12.25 to 24.25</t>
  </si>
  <si>
    <t>Low(0-24.9% of points possible)</t>
  </si>
  <si>
    <t>0 to 5.5</t>
  </si>
  <si>
    <t>0 to 5.75</t>
  </si>
  <si>
    <t>0 to 12</t>
  </si>
  <si>
    <t>Negative(&lt;0 points)</t>
  </si>
  <si>
    <t>&lt;0</t>
  </si>
  <si>
    <t>Total points possible</t>
  </si>
  <si>
    <t>23</t>
  </si>
  <si>
    <t>26</t>
  </si>
  <si>
    <t>49</t>
  </si>
  <si>
    <t>AL</t>
  </si>
  <si>
    <t>AK</t>
  </si>
  <si>
    <t>AZ</t>
  </si>
  <si>
    <t>AR</t>
  </si>
  <si>
    <t>AS</t>
  </si>
  <si>
    <t>CA</t>
  </si>
  <si>
    <t>CO</t>
  </si>
  <si>
    <t>CT</t>
  </si>
  <si>
    <t>DE</t>
  </si>
  <si>
    <t>DC</t>
  </si>
  <si>
    <t>FL</t>
  </si>
  <si>
    <t>GA</t>
  </si>
  <si>
    <t>GU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</si>
  <si>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</si>
  <si>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</si>
  <si>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</si>
  <si>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</si>
  <si>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</si>
  <si>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</si>
  <si>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</si>
  <si>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</si>
  <si>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</si>
  <si>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</si>
  <si>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</si>
  <si>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</si>
  <si>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</si>
  <si>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</si>
  <si>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</si>
  <si>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</si>
  <si>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</si>
  <si>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</si>
  <si>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</si>
  <si>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</si>
  <si>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</si>
  <si>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</si>
  <si>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</si>
  <si>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</si>
  <si>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MP</t>
  </si>
  <si>
    <t>OH</t>
  </si>
  <si>
    <t>OK</t>
  </si>
  <si>
    <t>OR</t>
  </si>
  <si>
    <t>PA</t>
  </si>
  <si>
    <t>PR</t>
  </si>
  <si>
    <t>RI</t>
  </si>
  <si>
    <t>SC</t>
  </si>
  <si>
    <t>SD</t>
  </si>
  <si>
    <t>TN</t>
  </si>
  <si>
    <t>TX</t>
  </si>
  <si>
    <t>TT</t>
  </si>
  <si>
    <t>UT</t>
  </si>
  <si>
    <t>VT</t>
  </si>
  <si>
    <t>VA</t>
  </si>
  <si>
    <t>VI</t>
  </si>
  <si>
    <t>WA</t>
  </si>
  <si>
    <t>WV</t>
  </si>
  <si>
    <t>WI</t>
  </si>
  <si>
    <t>WY</t>
  </si>
  <si>
    <t>Trust Territories</t>
  </si>
  <si>
    <t>Virgin Islands</t>
  </si>
  <si>
    <t>high</t>
  </si>
  <si>
    <t>medium</t>
  </si>
  <si>
    <t>fair</t>
  </si>
  <si>
    <t>low</t>
  </si>
  <si>
    <t>negative</t>
  </si>
  <si>
    <t>smallest</t>
  </si>
  <si>
    <t>largest</t>
  </si>
  <si>
    <t>EXPORT</t>
  </si>
  <si>
    <t>REM:</t>
  </si>
  <si>
    <t>"" -&gt; ", Starting ", Ending "</t>
  </si>
  <si>
    <t>462 lines</t>
  </si>
  <si>
    <t>D.C.</t>
  </si>
  <si>
    <t>US Virgin Islands</t>
  </si>
  <si>
    <t>Score</t>
  </si>
  <si>
    <t>Type</t>
  </si>
  <si>
    <t>REM: "" -&gt; ", Starting ", Ending "</t>
  </si>
  <si>
    <t>REM: "" -&gt; ", Starting ", Ending ", Ending 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</si>
</sst>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006400"/>
        <bgColor indexed="64"/>
      </patternFill>
    </fill>
    <fill>
      <patternFill patternType="solid">
        <fgColor rgb="FF8FBC8F"/>
        <bgColor indexed="64"/>
      </patternFill>
    </fill>
    <fill>
      <patternFill patternType="solid">
        <fgColor rgb="FFBDB76B"/>
        <bgColor indexed="64"/>
      </patternFill>
    </fill>
    <fill>
      <patternFill patternType="solid">
        <fgColor rgb="FFFF7F50"/>
        <bgColor indexed="64"/>
      </patternFill>
    </fill>
    <fill>
      <patternFill patternType="solid">
        <fgColor rgb="FFB2222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hair">
        <color rgb="FFE7FFE7"/>
      </left>
      <right style="hair">
        <color rgb="FFE7FFE7"/>
      </right>
      <top style="hair">
        <color rgb="FFE7FFE7"/>
      </top>
      <bottom style="hair">
        <color rgb="FFE7FFE7"/>
      </bottom>
      <diagonal/>
    </border>
    <border>
      <left style="hair">
        <color rgb="FFFFE3D9"/>
      </left>
      <right style="hair">
        <color rgb="FFFFE3D9"/>
      </right>
      <top style="hair">
        <color rgb="FFFFE3D9"/>
      </top>
      <bottom style="hair">
        <color rgb="FFFFE3D9"/>
      </bottom>
      <diagonal/>
    </border>
  </borders>
  <cellStyleXfs count="8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  <xf numFmtId="0" fontId="3" fillId="4" borderId="5" applyAlignment="0">
      <alignment horizontal="right"/>
    </xf>
    <xf numFmtId="0" fontId="6" fillId="5" borderId="5" applyAlignment="0">
      <alignment horizontal="right"/>
    </xf>
    <xf numFmtId="0" fontId="6" fillId="6" borderId="5" applyAlignment="0">
      <alignment horizontal="right"/>
    </xf>
    <xf numFmtId="0" fontId="6" fillId="7" borderId="6" applyAlignment="0">
      <alignment horizontal="right"/>
    </xf>
    <xf numFmtId="0" fontId="3" fillId="8" borderId="6" applyAlignment="0">
      <alignment horizontal="right"/>
    </xf>
  </cellStyleXfs>
  <cellXfs count="24">
    <xf numFmtId="0" fontId="0" fillId="0" borderId="0" xfId="0"/>
    <xf numFmtId="0" fontId="0" fillId="0" borderId="3" xfId="0" applyBorder="1"/>
    <xf numFmtId="0" fontId="0" fillId="3" borderId="4" xfId="0" applyFill="1" applyBorder="1"/>
    <xf numFmtId="0" fontId="0" fillId="0" borderId="4" xfId="0" applyBorder="1"/>
    <xf numFmtId="0" fontId="4" fillId="0" borderId="0" xfId="0" applyFont="1" applyAlignment="1">
      <alignment vertical="center"/>
    </xf>
    <xf numFmtId="49" fontId="0" fillId="0" borderId="0" xfId="0" applyNumberFormat="1"/>
    <xf numFmtId="49" fontId="4" fillId="0" borderId="0" xfId="0" applyNumberFormat="1" applyFont="1" applyAlignment="1">
      <alignment vertical="center"/>
    </xf>
    <xf numFmtId="0" fontId="3" fillId="4" borderId="5" xfId="3" applyAlignment="1">
      <alignment horizontal="right"/>
    </xf>
    <xf numFmtId="0" fontId="3" fillId="4" borderId="5" xfId="3" applyAlignment="1"/>
    <xf numFmtId="0" fontId="6" fillId="5" borderId="5" xfId="4" applyAlignment="1">
      <alignment horizontal="right"/>
    </xf>
    <xf numFmtId="0" fontId="6" fillId="5" borderId="5" xfId="4" applyAlignment="1"/>
    <xf numFmtId="0" fontId="6" fillId="6" borderId="5" xfId="5" applyAlignment="1">
      <alignment horizontal="right"/>
    </xf>
    <xf numFmtId="0" fontId="6" fillId="6" borderId="5" xfId="5" applyAlignment="1"/>
    <xf numFmtId="0" fontId="6" fillId="7" borderId="6" xfId="6" applyAlignment="1">
      <alignment horizontal="right"/>
    </xf>
    <xf numFmtId="0" fontId="6" fillId="7" borderId="6" xfId="6" applyAlignment="1"/>
    <xf numFmtId="0" fontId="3" fillId="8" borderId="6" xfId="7" applyAlignment="1">
      <alignment horizontal="right"/>
    </xf>
    <xf numFmtId="0" fontId="3" fillId="8" borderId="6" xfId="7" applyAlignment="1"/>
    <xf numFmtId="0" fontId="0" fillId="0" borderId="0" xfId="0" applyAlignment="1">
      <alignment wrapText="1"/>
    </xf>
    <xf numFmtId="0" fontId="2" fillId="2" borderId="2" xfId="2"/>
    <xf numFmtId="0" fontId="1" fillId="0" borderId="1" xfId="1" applyAlignment="1">
      <alignment horizontal="left" vertical="top"/>
    </xf>
    <xf numFmtId="0" fontId="0" fillId="3" borderId="3" xfId="0" applyFill="1" applyBorder="1"/>
    <xf numFmtId="0" fontId="0" fillId="0" borderId="0" xfId="0" applyAlignment="1">
      <alignment horizontal="center"/>
    </xf>
    <xf numFmtId="0" fontId="1" fillId="0" borderId="0" xfId="1" applyBorder="1" applyAlignment="1">
      <alignment horizontal="center" vertical="center"/>
    </xf>
    <xf numFmtId="0" fontId="1" fillId="0" borderId="0" xfId="1" applyBorder="1" applyAlignment="1">
      <alignment vertical="center"/>
    </xf>
  </cellXfs>
  <cellStyles count="8">
    <cellStyle name="Calculation" xfId="2" builtinId="22"/>
    <cellStyle name="EQ 0 High" xfId="3" xr:uid="{60133DE1-2FE8-4F1C-BC87-784BA1C5BECC}"/>
    <cellStyle name="EQ 1 Medium" xfId="4" xr:uid="{8EA119FB-03F4-4379-B93A-957BEA16C71B}"/>
    <cellStyle name="EQ 3 Fair" xfId="5" xr:uid="{A777F8EA-7F4B-4C85-B899-9533FD175713}"/>
    <cellStyle name="EQ 4 Low" xfId="6" xr:uid="{70423CC0-1B00-4986-A851-A82E50451EB4}"/>
    <cellStyle name="EQ 5 Negative" xfId="7" xr:uid="{F7EB7B80-AA80-4AC1-BAEC-8AEA01B5A28B}"/>
    <cellStyle name="Heading 1" xfId="1" builtinId="16"/>
    <cellStyle name="Normal" xfId="0" builtinId="0"/>
  </cellStyles>
  <dxfs count="14">
    <dxf>
      <border diagonalUp="0" diagonalDown="0">
        <left/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B22222"/>
      <color rgb="FFFFE3D9"/>
      <color rgb="FFFF7F50"/>
      <color rgb="FFBDB76B"/>
      <color rgb="FF8FBC8F"/>
      <color rgb="FFE7FFE7"/>
      <color rgb="FF006400"/>
      <color rgb="FFBFC1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FF3DBA6-33F3-4179-9B3F-7E153F35E902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State" tableColumnId="2"/>
      <queryTableField id="3" name="_1" tableColumnId="3"/>
      <queryTableField id="4" name="Relationship andParental Recognition" tableColumnId="4"/>
      <queryTableField id="5" name="Non–Discrimination" tableColumnId="5"/>
      <queryTableField id="6" name="Religious Exemption Laws" tableColumnId="6"/>
      <queryTableField id="7" name="LGBT Youth" tableColumnId="7"/>
      <queryTableField id="8" name="Healthcare" tableColumnId="8"/>
      <queryTableField id="9" name="CriminalJustice" tableColumnId="9"/>
      <queryTableField id="10" name="IdentityDocuments" tableColumnId="10"/>
      <queryTableField id="11" name="Sexual Orientation Policy Tally" tableColumnId="11"/>
      <queryTableField id="12" name="Gender Identity Policy Tally" tableColumnId="12"/>
      <queryTableField id="13" name="Overall Tally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B961F6E-BE55-436C-9E2C-6E3C64930627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0F7F3C-E3D5-4317-A52B-4DFBACB6F7E4}" name="Table_4" displayName="Table_4" ref="A1:M113" tableType="queryTable" totalsRowShown="0">
  <autoFilter ref="A1:M113" xr:uid="{030F7F3C-E3D5-4317-A52B-4DFBACB6F7E4}"/>
  <tableColumns count="13">
    <tableColumn id="1" xr3:uid="{583B1AE5-5F3B-44FA-B05B-B96973526610}" uniqueName="1" name="Column1" queryTableFieldId="1"/>
    <tableColumn id="2" xr3:uid="{4A94C5FB-9780-4621-97F7-C143359166E0}" uniqueName="2" name="State" queryTableFieldId="2" dataDxfId="13"/>
    <tableColumn id="3" xr3:uid="{94E529E3-042B-4245-863B-0F8A27A7DA51}" uniqueName="3" name="_1" queryTableFieldId="3" dataDxfId="12"/>
    <tableColumn id="4" xr3:uid="{3B537C50-D835-4D39-AFA2-D5B4C68A4A9C}" uniqueName="4" name="Relationship andParental Recognition" queryTableFieldId="4" dataDxfId="11"/>
    <tableColumn id="5" xr3:uid="{FF5C58CD-3E05-424C-A54E-6B76FC6EB413}" uniqueName="5" name="Non–Discrimination" queryTableFieldId="5" dataDxfId="10"/>
    <tableColumn id="6" xr3:uid="{E0B47114-859D-4125-A801-F98FD84C9102}" uniqueName="6" name="Religious Exemption Laws" queryTableFieldId="6" dataDxfId="9"/>
    <tableColumn id="7" xr3:uid="{E18E638F-EEB1-4C15-B4D2-B64430A2FCE2}" uniqueName="7" name="LGBT Youth" queryTableFieldId="7" dataDxfId="8"/>
    <tableColumn id="8" xr3:uid="{6A448277-F81F-41B6-9BFC-A12A61BC6D1C}" uniqueName="8" name="Healthcare" queryTableFieldId="8" dataDxfId="7"/>
    <tableColumn id="9" xr3:uid="{80E15FCD-9B70-4D79-B34F-1136B2597003}" uniqueName="9" name="CriminalJustice" queryTableFieldId="9" dataDxfId="6"/>
    <tableColumn id="10" xr3:uid="{CBBB892A-EEF1-42E9-9C9B-C6E3328260EA}" uniqueName="10" name="IdentityDocuments" queryTableFieldId="10" dataDxfId="5"/>
    <tableColumn id="11" xr3:uid="{4D325AE9-8AB9-486A-BF30-CD86C2D7521B}" uniqueName="11" name="Sexual Orientation Policy Tally" queryTableFieldId="11"/>
    <tableColumn id="12" xr3:uid="{DFA48388-A5C1-415F-B916-3FEA890FEFDD}" uniqueName="12" name="Gender Identity Policy Tally" queryTableFieldId="12"/>
    <tableColumn id="13" xr3:uid="{9E206B45-628B-4FAD-9727-542B2BCC0545}" uniqueName="13" name="Overall Tally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AA9C8E-B60B-46DB-9B6E-5BAC48C338A6}" name="Table_1" displayName="Table_1" ref="A1:D8" tableType="queryTable" totalsRowShown="0">
  <autoFilter ref="A1:D8" xr:uid="{D8AA9C8E-B60B-46DB-9B6E-5BAC48C338A6}"/>
  <tableColumns count="4">
    <tableColumn id="1" xr3:uid="{2CA816AB-33F6-4B3B-BEAC-0ADC93720D36}" uniqueName="1" name="Column1" queryTableFieldId="1" dataDxfId="4"/>
    <tableColumn id="2" xr3:uid="{9C965451-99D1-417D-973E-EE73570AD1F6}" uniqueName="2" name="Column2" queryTableFieldId="2" dataDxfId="3"/>
    <tableColumn id="3" xr3:uid="{8AD29F4E-CAE5-48DE-A002-51B0D7A27B9E}" uniqueName="3" name="Column3" queryTableFieldId="3" dataDxfId="2"/>
    <tableColumn id="4" xr3:uid="{1505596F-6CFE-482F-90A0-E86BD9CA5277}" uniqueName="4" name="Column4" queryTableFieldId="4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2C1F7D-8AA1-44A2-BDF9-158FFD740B51}" name="Table3" displayName="Table3" ref="A2:C114" totalsRowShown="0">
  <autoFilter ref="A2:C114" xr:uid="{302C1F7D-8AA1-44A2-BDF9-158FFD740B51}"/>
  <tableColumns count="3">
    <tableColumn id="1" xr3:uid="{57177244-E673-4DD4-939F-68F3B20CDE8D}" name="State"/>
    <tableColumn id="2" xr3:uid="{15A691C1-6DAB-4EC5-8164-BC203986ED80}" name="Score" dataDxfId="0"/>
    <tableColumn id="3" xr3:uid="{ED720D99-2968-43F8-8038-1A453AE9B388}" name="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89E9B-CC6A-4DDC-8BA6-240D22A17903}">
  <dimension ref="A1:M113"/>
  <sheetViews>
    <sheetView tabSelected="1" workbookViewId="0">
      <selection activeCell="B2" sqref="B2"/>
    </sheetView>
  </sheetViews>
  <sheetFormatPr defaultRowHeight="14.5"/>
  <cols>
    <col min="1" max="1" width="10.7265625" bestFit="1" customWidth="1"/>
    <col min="2" max="2" width="21.26953125" bestFit="1" customWidth="1"/>
    <col min="3" max="3" width="4.90625" bestFit="1" customWidth="1"/>
    <col min="4" max="4" width="35.08984375" bestFit="1" customWidth="1"/>
    <col min="5" max="5" width="19.90625" bestFit="1" customWidth="1"/>
    <col min="6" max="6" width="24.90625" bestFit="1" customWidth="1"/>
    <col min="7" max="7" width="12.54296875" bestFit="1" customWidth="1"/>
    <col min="8" max="8" width="12.26953125" bestFit="1" customWidth="1"/>
    <col min="9" max="9" width="16.26953125" bestFit="1" customWidth="1"/>
    <col min="10" max="10" width="19.36328125" bestFit="1" customWidth="1"/>
    <col min="11" max="11" width="28.6328125" bestFit="1" customWidth="1"/>
    <col min="12" max="12" width="26" bestFit="1" customWidth="1"/>
    <col min="13" max="13" width="13.26953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>
        <v>-2</v>
      </c>
      <c r="L2">
        <v>-8.5</v>
      </c>
      <c r="M2">
        <v>-10.5</v>
      </c>
    </row>
    <row r="3" spans="1:13"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20</v>
      </c>
      <c r="J3" t="s">
        <v>28</v>
      </c>
    </row>
    <row r="4" spans="1:13">
      <c r="A4">
        <v>2</v>
      </c>
      <c r="B4" t="s">
        <v>29</v>
      </c>
      <c r="C4" t="s">
        <v>14</v>
      </c>
      <c r="D4" t="s">
        <v>15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21</v>
      </c>
      <c r="K4">
        <v>4.25</v>
      </c>
      <c r="L4">
        <v>4</v>
      </c>
      <c r="M4">
        <v>8.25</v>
      </c>
    </row>
    <row r="5" spans="1:13">
      <c r="C5" t="s">
        <v>22</v>
      </c>
      <c r="D5" t="s">
        <v>23</v>
      </c>
      <c r="E5" t="s">
        <v>30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</row>
    <row r="6" spans="1:13">
      <c r="A6">
        <v>3</v>
      </c>
      <c r="B6" t="s">
        <v>40</v>
      </c>
      <c r="C6" t="s">
        <v>14</v>
      </c>
      <c r="D6" t="s">
        <v>15</v>
      </c>
      <c r="E6" t="s">
        <v>16</v>
      </c>
      <c r="F6" t="s">
        <v>31</v>
      </c>
      <c r="G6" t="s">
        <v>41</v>
      </c>
      <c r="H6" t="s">
        <v>19</v>
      </c>
      <c r="I6" t="s">
        <v>20</v>
      </c>
      <c r="J6" t="s">
        <v>21</v>
      </c>
      <c r="K6">
        <v>1</v>
      </c>
      <c r="L6">
        <v>-1</v>
      </c>
      <c r="M6">
        <v>0</v>
      </c>
    </row>
    <row r="7" spans="1:13">
      <c r="C7" t="s">
        <v>22</v>
      </c>
      <c r="D7" t="s">
        <v>23</v>
      </c>
      <c r="E7" t="s">
        <v>16</v>
      </c>
      <c r="F7" t="s">
        <v>35</v>
      </c>
      <c r="G7" t="s">
        <v>41</v>
      </c>
      <c r="H7" t="s">
        <v>42</v>
      </c>
      <c r="I7" t="s">
        <v>20</v>
      </c>
      <c r="J7" t="s">
        <v>43</v>
      </c>
    </row>
    <row r="8" spans="1:13">
      <c r="A8">
        <v>4</v>
      </c>
      <c r="B8" t="s">
        <v>44</v>
      </c>
      <c r="C8" t="s">
        <v>14</v>
      </c>
      <c r="D8" t="s">
        <v>45</v>
      </c>
      <c r="E8" t="s">
        <v>46</v>
      </c>
      <c r="F8" t="s">
        <v>47</v>
      </c>
      <c r="G8" t="s">
        <v>48</v>
      </c>
      <c r="H8" t="s">
        <v>33</v>
      </c>
      <c r="I8" t="s">
        <v>49</v>
      </c>
      <c r="J8" t="s">
        <v>21</v>
      </c>
      <c r="K8">
        <v>6.5</v>
      </c>
      <c r="L8">
        <v>2.25</v>
      </c>
      <c r="M8">
        <v>8.75</v>
      </c>
    </row>
    <row r="9" spans="1:13">
      <c r="C9" t="s">
        <v>22</v>
      </c>
      <c r="D9" t="s">
        <v>50</v>
      </c>
      <c r="E9" t="s">
        <v>46</v>
      </c>
      <c r="F9" t="s">
        <v>51</v>
      </c>
      <c r="G9" t="s">
        <v>52</v>
      </c>
      <c r="H9" t="s">
        <v>53</v>
      </c>
      <c r="I9" t="s">
        <v>20</v>
      </c>
      <c r="J9" t="s">
        <v>54</v>
      </c>
    </row>
    <row r="10" spans="1:13">
      <c r="A10">
        <v>5</v>
      </c>
      <c r="B10" t="s">
        <v>55</v>
      </c>
      <c r="C10" t="s">
        <v>14</v>
      </c>
      <c r="D10" t="s">
        <v>15</v>
      </c>
      <c r="E10" t="s">
        <v>56</v>
      </c>
      <c r="F10" t="s">
        <v>57</v>
      </c>
      <c r="G10" t="s">
        <v>36</v>
      </c>
      <c r="H10" t="s">
        <v>58</v>
      </c>
      <c r="I10" t="s">
        <v>59</v>
      </c>
      <c r="J10" t="s">
        <v>21</v>
      </c>
      <c r="K10">
        <v>-4</v>
      </c>
      <c r="L10">
        <v>-10.25</v>
      </c>
      <c r="M10">
        <v>-14.25</v>
      </c>
    </row>
    <row r="11" spans="1:13">
      <c r="C11" t="s">
        <v>22</v>
      </c>
      <c r="D11" t="s">
        <v>23</v>
      </c>
      <c r="E11" t="s">
        <v>60</v>
      </c>
      <c r="F11" t="s">
        <v>61</v>
      </c>
      <c r="G11" t="s">
        <v>62</v>
      </c>
      <c r="H11" t="s">
        <v>63</v>
      </c>
      <c r="I11" t="s">
        <v>59</v>
      </c>
      <c r="J11" t="s">
        <v>28</v>
      </c>
    </row>
    <row r="12" spans="1:13">
      <c r="A12">
        <v>6</v>
      </c>
      <c r="B12" t="s">
        <v>64</v>
      </c>
      <c r="C12" t="s">
        <v>14</v>
      </c>
      <c r="D12" t="s">
        <v>65</v>
      </c>
      <c r="E12" t="s">
        <v>66</v>
      </c>
      <c r="F12" t="s">
        <v>31</v>
      </c>
      <c r="G12" t="s">
        <v>67</v>
      </c>
      <c r="H12" t="s">
        <v>68</v>
      </c>
      <c r="I12" t="s">
        <v>69</v>
      </c>
      <c r="J12" t="s">
        <v>21</v>
      </c>
      <c r="K12">
        <v>21.75</v>
      </c>
      <c r="L12">
        <v>23.25</v>
      </c>
      <c r="M12">
        <v>45</v>
      </c>
    </row>
    <row r="13" spans="1:13">
      <c r="C13" t="s">
        <v>22</v>
      </c>
      <c r="D13" t="s">
        <v>50</v>
      </c>
      <c r="E13" t="s">
        <v>66</v>
      </c>
      <c r="F13" t="s">
        <v>35</v>
      </c>
      <c r="G13" t="s">
        <v>67</v>
      </c>
      <c r="H13" t="s">
        <v>70</v>
      </c>
      <c r="I13" t="s">
        <v>69</v>
      </c>
      <c r="J13" t="s">
        <v>71</v>
      </c>
    </row>
    <row r="14" spans="1:13">
      <c r="A14">
        <v>7</v>
      </c>
      <c r="B14" t="s">
        <v>72</v>
      </c>
      <c r="C14" t="s">
        <v>14</v>
      </c>
      <c r="D14" t="s">
        <v>65</v>
      </c>
      <c r="E14" t="s">
        <v>66</v>
      </c>
      <c r="F14" t="s">
        <v>31</v>
      </c>
      <c r="G14" t="s">
        <v>67</v>
      </c>
      <c r="H14" t="s">
        <v>73</v>
      </c>
      <c r="I14" t="s">
        <v>69</v>
      </c>
      <c r="J14" t="s">
        <v>21</v>
      </c>
      <c r="K14">
        <v>22.25</v>
      </c>
      <c r="L14">
        <v>23</v>
      </c>
      <c r="M14">
        <v>45.25</v>
      </c>
    </row>
    <row r="15" spans="1:13">
      <c r="C15" t="s">
        <v>22</v>
      </c>
      <c r="D15" t="s">
        <v>50</v>
      </c>
      <c r="E15" t="s">
        <v>66</v>
      </c>
      <c r="F15" t="s">
        <v>35</v>
      </c>
      <c r="G15" t="s">
        <v>67</v>
      </c>
      <c r="H15" t="s">
        <v>70</v>
      </c>
      <c r="I15" t="s">
        <v>69</v>
      </c>
      <c r="J15" t="s">
        <v>74</v>
      </c>
    </row>
    <row r="16" spans="1:13">
      <c r="A16">
        <v>8</v>
      </c>
      <c r="B16" t="s">
        <v>75</v>
      </c>
      <c r="C16" t="s">
        <v>14</v>
      </c>
      <c r="D16" t="s">
        <v>76</v>
      </c>
      <c r="E16" t="s">
        <v>66</v>
      </c>
      <c r="F16" t="s">
        <v>77</v>
      </c>
      <c r="G16" t="s">
        <v>78</v>
      </c>
      <c r="H16" t="s">
        <v>79</v>
      </c>
      <c r="I16" t="s">
        <v>49</v>
      </c>
      <c r="J16" t="s">
        <v>21</v>
      </c>
      <c r="K16">
        <v>18.75</v>
      </c>
      <c r="L16">
        <v>22</v>
      </c>
      <c r="M16">
        <v>40.75</v>
      </c>
    </row>
    <row r="17" spans="1:13">
      <c r="C17" t="s">
        <v>22</v>
      </c>
      <c r="D17" t="s">
        <v>50</v>
      </c>
      <c r="E17" t="s">
        <v>66</v>
      </c>
      <c r="F17" t="s">
        <v>80</v>
      </c>
      <c r="G17" t="s">
        <v>78</v>
      </c>
      <c r="H17" t="s">
        <v>81</v>
      </c>
      <c r="I17" t="s">
        <v>49</v>
      </c>
      <c r="J17" t="s">
        <v>74</v>
      </c>
    </row>
    <row r="18" spans="1:13">
      <c r="A18">
        <v>9</v>
      </c>
      <c r="B18" t="s">
        <v>82</v>
      </c>
      <c r="C18" t="s">
        <v>14</v>
      </c>
      <c r="D18" t="s">
        <v>83</v>
      </c>
      <c r="E18" t="s">
        <v>84</v>
      </c>
      <c r="F18" t="s">
        <v>31</v>
      </c>
      <c r="G18" t="s">
        <v>85</v>
      </c>
      <c r="H18" t="s">
        <v>86</v>
      </c>
      <c r="I18" t="s">
        <v>87</v>
      </c>
      <c r="J18" t="s">
        <v>21</v>
      </c>
      <c r="K18">
        <v>14</v>
      </c>
      <c r="L18">
        <v>17</v>
      </c>
      <c r="M18">
        <v>31</v>
      </c>
    </row>
    <row r="19" spans="1:13">
      <c r="C19" t="s">
        <v>22</v>
      </c>
      <c r="D19" t="s">
        <v>50</v>
      </c>
      <c r="E19" t="s">
        <v>84</v>
      </c>
      <c r="F19" t="s">
        <v>35</v>
      </c>
      <c r="G19" t="s">
        <v>88</v>
      </c>
      <c r="H19" t="s">
        <v>89</v>
      </c>
      <c r="I19" t="s">
        <v>87</v>
      </c>
      <c r="J19" t="s">
        <v>90</v>
      </c>
    </row>
    <row r="20" spans="1:13">
      <c r="A20">
        <v>10</v>
      </c>
      <c r="B20" t="s">
        <v>91</v>
      </c>
      <c r="C20" t="s">
        <v>14</v>
      </c>
      <c r="D20" t="s">
        <v>92</v>
      </c>
      <c r="E20" t="s">
        <v>66</v>
      </c>
      <c r="F20" t="s">
        <v>31</v>
      </c>
      <c r="G20" t="s">
        <v>93</v>
      </c>
      <c r="H20" t="s">
        <v>73</v>
      </c>
      <c r="I20" t="s">
        <v>49</v>
      </c>
      <c r="J20" t="s">
        <v>21</v>
      </c>
      <c r="K20">
        <v>18.5</v>
      </c>
      <c r="L20">
        <v>22.25</v>
      </c>
      <c r="M20">
        <v>40.75</v>
      </c>
    </row>
    <row r="21" spans="1:13">
      <c r="C21" t="s">
        <v>22</v>
      </c>
      <c r="D21" t="s">
        <v>50</v>
      </c>
      <c r="E21" t="s">
        <v>66</v>
      </c>
      <c r="F21" t="s">
        <v>35</v>
      </c>
      <c r="G21" t="s">
        <v>93</v>
      </c>
      <c r="H21" t="s">
        <v>94</v>
      </c>
      <c r="I21" t="s">
        <v>49</v>
      </c>
      <c r="J21" t="s">
        <v>74</v>
      </c>
    </row>
    <row r="22" spans="1:13">
      <c r="A22">
        <v>11</v>
      </c>
      <c r="B22" t="s">
        <v>95</v>
      </c>
      <c r="C22" t="s">
        <v>14</v>
      </c>
      <c r="D22" t="s">
        <v>15</v>
      </c>
      <c r="E22" t="s">
        <v>46</v>
      </c>
      <c r="F22" t="s">
        <v>47</v>
      </c>
      <c r="G22" t="s">
        <v>36</v>
      </c>
      <c r="H22" t="s">
        <v>33</v>
      </c>
      <c r="I22" t="s">
        <v>96</v>
      </c>
      <c r="J22" t="s">
        <v>21</v>
      </c>
      <c r="K22">
        <v>2.75</v>
      </c>
      <c r="L22">
        <v>-5.75</v>
      </c>
      <c r="M22">
        <v>-3</v>
      </c>
    </row>
    <row r="23" spans="1:13">
      <c r="C23" t="s">
        <v>22</v>
      </c>
      <c r="D23" t="s">
        <v>23</v>
      </c>
      <c r="E23" t="s">
        <v>30</v>
      </c>
      <c r="F23" t="s">
        <v>51</v>
      </c>
      <c r="G23" t="s">
        <v>97</v>
      </c>
      <c r="H23" t="s">
        <v>98</v>
      </c>
      <c r="I23" t="s">
        <v>99</v>
      </c>
      <c r="J23" t="s">
        <v>43</v>
      </c>
    </row>
    <row r="24" spans="1:13">
      <c r="A24">
        <v>12</v>
      </c>
      <c r="B24" t="s">
        <v>100</v>
      </c>
      <c r="C24" t="s">
        <v>14</v>
      </c>
      <c r="D24" t="s">
        <v>15</v>
      </c>
      <c r="E24" t="s">
        <v>16</v>
      </c>
      <c r="F24" t="s">
        <v>77</v>
      </c>
      <c r="G24" t="s">
        <v>41</v>
      </c>
      <c r="H24" t="s">
        <v>33</v>
      </c>
      <c r="I24" t="s">
        <v>96</v>
      </c>
      <c r="J24" t="s">
        <v>21</v>
      </c>
      <c r="K24">
        <v>1.5</v>
      </c>
      <c r="L24">
        <v>-2.25</v>
      </c>
      <c r="M24">
        <v>-0.75</v>
      </c>
    </row>
    <row r="25" spans="1:13">
      <c r="C25" t="s">
        <v>22</v>
      </c>
      <c r="D25" t="s">
        <v>23</v>
      </c>
      <c r="E25" t="s">
        <v>16</v>
      </c>
      <c r="F25" t="s">
        <v>80</v>
      </c>
      <c r="G25" t="s">
        <v>18</v>
      </c>
      <c r="H25" t="s">
        <v>101</v>
      </c>
      <c r="I25" t="s">
        <v>96</v>
      </c>
      <c r="J25" t="s">
        <v>102</v>
      </c>
    </row>
    <row r="26" spans="1:13">
      <c r="A26">
        <v>13</v>
      </c>
      <c r="B26" t="s">
        <v>103</v>
      </c>
      <c r="C26" t="s">
        <v>14</v>
      </c>
      <c r="D26" t="s">
        <v>104</v>
      </c>
      <c r="E26" t="s">
        <v>105</v>
      </c>
      <c r="F26" t="s">
        <v>31</v>
      </c>
      <c r="G26" t="s">
        <v>106</v>
      </c>
      <c r="H26" t="s">
        <v>33</v>
      </c>
      <c r="I26" t="s">
        <v>34</v>
      </c>
      <c r="J26" t="s">
        <v>21</v>
      </c>
      <c r="K26">
        <v>5.5</v>
      </c>
      <c r="L26">
        <v>-0.75</v>
      </c>
      <c r="M26">
        <v>4.75</v>
      </c>
    </row>
    <row r="27" spans="1:13">
      <c r="C27" t="s">
        <v>22</v>
      </c>
      <c r="D27" t="s">
        <v>23</v>
      </c>
      <c r="E27" t="s">
        <v>105</v>
      </c>
      <c r="F27" t="s">
        <v>35</v>
      </c>
      <c r="G27" t="s">
        <v>41</v>
      </c>
      <c r="H27" t="s">
        <v>107</v>
      </c>
      <c r="I27" t="s">
        <v>38</v>
      </c>
      <c r="J27" t="s">
        <v>102</v>
      </c>
    </row>
    <row r="28" spans="1:13">
      <c r="A28">
        <v>14</v>
      </c>
      <c r="B28" t="s">
        <v>108</v>
      </c>
      <c r="C28" t="s">
        <v>14</v>
      </c>
      <c r="D28" t="s">
        <v>109</v>
      </c>
      <c r="E28" t="s">
        <v>84</v>
      </c>
      <c r="F28" t="s">
        <v>31</v>
      </c>
      <c r="G28" t="s">
        <v>110</v>
      </c>
      <c r="H28" t="s">
        <v>111</v>
      </c>
      <c r="I28" t="s">
        <v>112</v>
      </c>
      <c r="J28" t="s">
        <v>21</v>
      </c>
      <c r="K28">
        <v>16</v>
      </c>
      <c r="L28">
        <v>17.25</v>
      </c>
      <c r="M28">
        <v>33.25</v>
      </c>
    </row>
    <row r="29" spans="1:13">
      <c r="C29" t="s">
        <v>22</v>
      </c>
      <c r="D29" t="s">
        <v>50</v>
      </c>
      <c r="E29" t="s">
        <v>84</v>
      </c>
      <c r="F29" t="s">
        <v>35</v>
      </c>
      <c r="G29" t="s">
        <v>110</v>
      </c>
      <c r="H29" t="s">
        <v>113</v>
      </c>
      <c r="I29" t="s">
        <v>112</v>
      </c>
      <c r="J29" t="s">
        <v>114</v>
      </c>
    </row>
    <row r="30" spans="1:13">
      <c r="A30">
        <v>15</v>
      </c>
      <c r="B30" t="s">
        <v>115</v>
      </c>
      <c r="C30" t="s">
        <v>14</v>
      </c>
      <c r="D30" t="s">
        <v>45</v>
      </c>
      <c r="E30" t="s">
        <v>116</v>
      </c>
      <c r="F30" t="s">
        <v>117</v>
      </c>
      <c r="G30" t="s">
        <v>18</v>
      </c>
      <c r="H30" t="s">
        <v>19</v>
      </c>
      <c r="I30" t="s">
        <v>96</v>
      </c>
      <c r="J30" t="s">
        <v>21</v>
      </c>
      <c r="K30">
        <v>-0.25</v>
      </c>
      <c r="L30">
        <v>-11.25</v>
      </c>
      <c r="M30">
        <v>-11.5</v>
      </c>
    </row>
    <row r="31" spans="1:13">
      <c r="C31" t="s">
        <v>22</v>
      </c>
      <c r="D31" t="s">
        <v>23</v>
      </c>
      <c r="E31" t="s">
        <v>118</v>
      </c>
      <c r="F31" t="s">
        <v>61</v>
      </c>
      <c r="G31" t="s">
        <v>119</v>
      </c>
      <c r="H31" t="s">
        <v>120</v>
      </c>
      <c r="I31" t="s">
        <v>99</v>
      </c>
      <c r="J31" t="s">
        <v>121</v>
      </c>
    </row>
    <row r="32" spans="1:13">
      <c r="A32">
        <v>16</v>
      </c>
      <c r="B32" t="s">
        <v>122</v>
      </c>
      <c r="C32" t="s">
        <v>14</v>
      </c>
      <c r="D32" t="s">
        <v>65</v>
      </c>
      <c r="E32" t="s">
        <v>66</v>
      </c>
      <c r="F32" t="s">
        <v>47</v>
      </c>
      <c r="G32" t="s">
        <v>67</v>
      </c>
      <c r="H32" t="s">
        <v>123</v>
      </c>
      <c r="I32" t="s">
        <v>112</v>
      </c>
      <c r="J32" t="s">
        <v>21</v>
      </c>
      <c r="K32">
        <v>21.5</v>
      </c>
      <c r="L32">
        <v>23.5</v>
      </c>
      <c r="M32">
        <v>45</v>
      </c>
    </row>
    <row r="33" spans="1:13">
      <c r="C33" t="s">
        <v>22</v>
      </c>
      <c r="D33" t="s">
        <v>50</v>
      </c>
      <c r="E33" t="s">
        <v>66</v>
      </c>
      <c r="F33" t="s">
        <v>51</v>
      </c>
      <c r="G33" t="s">
        <v>67</v>
      </c>
      <c r="H33" t="s">
        <v>124</v>
      </c>
      <c r="I33" t="s">
        <v>112</v>
      </c>
      <c r="J33" t="s">
        <v>71</v>
      </c>
    </row>
    <row r="34" spans="1:13">
      <c r="A34">
        <v>17</v>
      </c>
      <c r="B34" t="s">
        <v>125</v>
      </c>
      <c r="C34" t="s">
        <v>14</v>
      </c>
      <c r="D34" t="s">
        <v>126</v>
      </c>
      <c r="E34" t="s">
        <v>127</v>
      </c>
      <c r="F34" t="s">
        <v>77</v>
      </c>
      <c r="G34" t="s">
        <v>18</v>
      </c>
      <c r="H34" t="s">
        <v>58</v>
      </c>
      <c r="I34" t="s">
        <v>59</v>
      </c>
      <c r="J34" t="s">
        <v>21</v>
      </c>
      <c r="K34">
        <v>2.75</v>
      </c>
      <c r="L34">
        <v>-5.5</v>
      </c>
      <c r="M34">
        <v>-2.75</v>
      </c>
    </row>
    <row r="35" spans="1:13">
      <c r="C35" t="s">
        <v>22</v>
      </c>
      <c r="D35" t="s">
        <v>23</v>
      </c>
      <c r="E35" t="s">
        <v>128</v>
      </c>
      <c r="F35" t="s">
        <v>80</v>
      </c>
      <c r="G35" t="s">
        <v>129</v>
      </c>
      <c r="H35" t="s">
        <v>42</v>
      </c>
      <c r="I35" t="s">
        <v>59</v>
      </c>
      <c r="J35" t="s">
        <v>130</v>
      </c>
    </row>
    <row r="36" spans="1:13">
      <c r="A36">
        <v>18</v>
      </c>
      <c r="B36" t="s">
        <v>131</v>
      </c>
      <c r="C36" t="s">
        <v>14</v>
      </c>
      <c r="D36" t="s">
        <v>45</v>
      </c>
      <c r="E36" t="s">
        <v>66</v>
      </c>
      <c r="F36" t="s">
        <v>77</v>
      </c>
      <c r="G36" t="s">
        <v>88</v>
      </c>
      <c r="H36" t="s">
        <v>58</v>
      </c>
      <c r="I36" t="s">
        <v>96</v>
      </c>
      <c r="J36" t="s">
        <v>21</v>
      </c>
      <c r="K36">
        <v>9.5</v>
      </c>
      <c r="L36">
        <v>-5</v>
      </c>
      <c r="M36">
        <v>4.5</v>
      </c>
    </row>
    <row r="37" spans="1:13">
      <c r="C37" t="s">
        <v>22</v>
      </c>
      <c r="D37" t="s">
        <v>50</v>
      </c>
      <c r="E37" t="s">
        <v>132</v>
      </c>
      <c r="F37" t="s">
        <v>80</v>
      </c>
      <c r="G37" t="s">
        <v>133</v>
      </c>
      <c r="H37" t="s">
        <v>27</v>
      </c>
      <c r="I37" t="s">
        <v>99</v>
      </c>
      <c r="J37" t="s">
        <v>121</v>
      </c>
    </row>
    <row r="38" spans="1:13">
      <c r="A38">
        <v>19</v>
      </c>
      <c r="B38" t="s">
        <v>134</v>
      </c>
      <c r="C38" t="s">
        <v>14</v>
      </c>
      <c r="D38" t="s">
        <v>15</v>
      </c>
      <c r="E38" t="s">
        <v>46</v>
      </c>
      <c r="F38" t="s">
        <v>47</v>
      </c>
      <c r="G38" t="s">
        <v>41</v>
      </c>
      <c r="H38" t="s">
        <v>58</v>
      </c>
      <c r="I38" t="s">
        <v>135</v>
      </c>
      <c r="J38" t="s">
        <v>21</v>
      </c>
      <c r="K38">
        <v>4.25</v>
      </c>
      <c r="L38">
        <v>-1.75</v>
      </c>
      <c r="M38">
        <v>2.5</v>
      </c>
    </row>
    <row r="39" spans="1:13">
      <c r="C39" t="s">
        <v>22</v>
      </c>
      <c r="D39" t="s">
        <v>23</v>
      </c>
      <c r="E39" t="s">
        <v>30</v>
      </c>
      <c r="F39" t="s">
        <v>51</v>
      </c>
      <c r="G39" t="s">
        <v>18</v>
      </c>
      <c r="H39" t="s">
        <v>136</v>
      </c>
      <c r="I39" t="s">
        <v>20</v>
      </c>
      <c r="J39" t="s">
        <v>28</v>
      </c>
    </row>
    <row r="40" spans="1:13">
      <c r="A40">
        <v>20</v>
      </c>
      <c r="B40" t="s">
        <v>137</v>
      </c>
      <c r="C40" t="s">
        <v>14</v>
      </c>
      <c r="D40" t="s">
        <v>45</v>
      </c>
      <c r="E40" t="s">
        <v>138</v>
      </c>
      <c r="F40" t="s">
        <v>77</v>
      </c>
      <c r="G40" t="s">
        <v>32</v>
      </c>
      <c r="H40" t="s">
        <v>33</v>
      </c>
      <c r="I40" t="s">
        <v>96</v>
      </c>
      <c r="J40" t="s">
        <v>21</v>
      </c>
      <c r="K40">
        <v>5</v>
      </c>
      <c r="L40">
        <v>-0.25</v>
      </c>
      <c r="M40">
        <v>4.75</v>
      </c>
    </row>
    <row r="41" spans="1:13">
      <c r="C41" t="s">
        <v>22</v>
      </c>
      <c r="D41" t="s">
        <v>50</v>
      </c>
      <c r="E41" t="s">
        <v>138</v>
      </c>
      <c r="F41" t="s">
        <v>80</v>
      </c>
      <c r="G41" t="s">
        <v>139</v>
      </c>
      <c r="H41" t="s">
        <v>136</v>
      </c>
      <c r="I41" t="s">
        <v>99</v>
      </c>
      <c r="J41" t="s">
        <v>140</v>
      </c>
    </row>
    <row r="42" spans="1:13">
      <c r="A42">
        <v>21</v>
      </c>
      <c r="B42" t="s">
        <v>141</v>
      </c>
      <c r="C42" t="s">
        <v>14</v>
      </c>
      <c r="D42" t="s">
        <v>15</v>
      </c>
      <c r="E42" t="s">
        <v>16</v>
      </c>
      <c r="F42" t="s">
        <v>77</v>
      </c>
      <c r="G42" t="s">
        <v>36</v>
      </c>
      <c r="H42" t="s">
        <v>33</v>
      </c>
      <c r="I42" t="s">
        <v>20</v>
      </c>
      <c r="J42" t="s">
        <v>21</v>
      </c>
      <c r="K42">
        <v>0.5</v>
      </c>
      <c r="L42">
        <v>-7.25</v>
      </c>
      <c r="M42">
        <v>-6.75</v>
      </c>
    </row>
    <row r="43" spans="1:13">
      <c r="C43" t="s">
        <v>22</v>
      </c>
      <c r="D43" t="s">
        <v>23</v>
      </c>
      <c r="E43" t="s">
        <v>24</v>
      </c>
      <c r="F43" t="s">
        <v>80</v>
      </c>
      <c r="G43" t="s">
        <v>129</v>
      </c>
      <c r="H43" t="s">
        <v>53</v>
      </c>
      <c r="I43" t="s">
        <v>59</v>
      </c>
      <c r="J43" t="s">
        <v>28</v>
      </c>
    </row>
    <row r="44" spans="1:13">
      <c r="A44">
        <v>22</v>
      </c>
      <c r="B44" t="s">
        <v>142</v>
      </c>
      <c r="C44" t="s">
        <v>14</v>
      </c>
      <c r="D44" t="s">
        <v>65</v>
      </c>
      <c r="E44" t="s">
        <v>66</v>
      </c>
      <c r="F44" t="s">
        <v>31</v>
      </c>
      <c r="G44" t="s">
        <v>93</v>
      </c>
      <c r="H44" t="s">
        <v>68</v>
      </c>
      <c r="I44" t="s">
        <v>112</v>
      </c>
      <c r="J44" t="s">
        <v>21</v>
      </c>
      <c r="K44">
        <v>21</v>
      </c>
      <c r="L44">
        <v>23.5</v>
      </c>
      <c r="M44">
        <v>44.5</v>
      </c>
    </row>
    <row r="45" spans="1:13">
      <c r="C45" t="s">
        <v>22</v>
      </c>
      <c r="D45" t="s">
        <v>50</v>
      </c>
      <c r="E45" t="s">
        <v>66</v>
      </c>
      <c r="F45" t="s">
        <v>35</v>
      </c>
      <c r="G45" t="s">
        <v>93</v>
      </c>
      <c r="H45" t="s">
        <v>94</v>
      </c>
      <c r="I45" t="s">
        <v>112</v>
      </c>
      <c r="J45" t="s">
        <v>71</v>
      </c>
    </row>
    <row r="46" spans="1:13">
      <c r="A46">
        <v>23</v>
      </c>
      <c r="B46" t="s">
        <v>143</v>
      </c>
      <c r="C46" t="s">
        <v>14</v>
      </c>
      <c r="D46" t="s">
        <v>144</v>
      </c>
      <c r="E46" t="s">
        <v>66</v>
      </c>
      <c r="F46" t="s">
        <v>31</v>
      </c>
      <c r="G46" t="s">
        <v>93</v>
      </c>
      <c r="H46" t="s">
        <v>86</v>
      </c>
      <c r="I46" t="s">
        <v>112</v>
      </c>
      <c r="J46" t="s">
        <v>21</v>
      </c>
      <c r="K46">
        <v>20</v>
      </c>
      <c r="L46">
        <v>23</v>
      </c>
      <c r="M46">
        <v>43</v>
      </c>
    </row>
    <row r="47" spans="1:13">
      <c r="C47" t="s">
        <v>22</v>
      </c>
      <c r="D47" t="s">
        <v>50</v>
      </c>
      <c r="E47" t="s">
        <v>66</v>
      </c>
      <c r="F47" t="s">
        <v>35</v>
      </c>
      <c r="G47" t="s">
        <v>93</v>
      </c>
      <c r="H47" t="s">
        <v>145</v>
      </c>
      <c r="I47" t="s">
        <v>112</v>
      </c>
      <c r="J47" t="s">
        <v>146</v>
      </c>
    </row>
    <row r="48" spans="1:13">
      <c r="A48">
        <v>24</v>
      </c>
      <c r="B48" t="s">
        <v>147</v>
      </c>
      <c r="C48" t="s">
        <v>14</v>
      </c>
      <c r="D48" t="s">
        <v>76</v>
      </c>
      <c r="E48" t="s">
        <v>66</v>
      </c>
      <c r="F48" t="s">
        <v>31</v>
      </c>
      <c r="G48" t="s">
        <v>93</v>
      </c>
      <c r="H48" t="s">
        <v>148</v>
      </c>
      <c r="I48" t="s">
        <v>49</v>
      </c>
      <c r="J48" t="s">
        <v>21</v>
      </c>
      <c r="K48">
        <v>18.25</v>
      </c>
      <c r="L48">
        <v>21.75</v>
      </c>
      <c r="M48">
        <v>40</v>
      </c>
    </row>
    <row r="49" spans="1:13">
      <c r="C49" t="s">
        <v>22</v>
      </c>
      <c r="D49" t="s">
        <v>50</v>
      </c>
      <c r="E49" t="s">
        <v>66</v>
      </c>
      <c r="F49" t="s">
        <v>35</v>
      </c>
      <c r="G49" t="s">
        <v>93</v>
      </c>
      <c r="H49" t="s">
        <v>145</v>
      </c>
      <c r="I49" t="s">
        <v>135</v>
      </c>
      <c r="J49" t="s">
        <v>71</v>
      </c>
    </row>
    <row r="50" spans="1:13">
      <c r="A50">
        <v>25</v>
      </c>
      <c r="B50" t="s">
        <v>149</v>
      </c>
      <c r="C50" t="s">
        <v>14</v>
      </c>
      <c r="D50" t="s">
        <v>150</v>
      </c>
      <c r="E50" t="s">
        <v>84</v>
      </c>
      <c r="F50" t="s">
        <v>77</v>
      </c>
      <c r="G50" t="s">
        <v>151</v>
      </c>
      <c r="H50" t="s">
        <v>152</v>
      </c>
      <c r="I50" t="s">
        <v>87</v>
      </c>
      <c r="J50" t="s">
        <v>21</v>
      </c>
      <c r="K50">
        <v>13.5</v>
      </c>
      <c r="L50">
        <v>16.5</v>
      </c>
      <c r="M50">
        <v>30</v>
      </c>
    </row>
    <row r="51" spans="1:13">
      <c r="C51" t="s">
        <v>22</v>
      </c>
      <c r="D51" t="s">
        <v>50</v>
      </c>
      <c r="E51" t="s">
        <v>84</v>
      </c>
      <c r="F51" t="s">
        <v>80</v>
      </c>
      <c r="G51" t="s">
        <v>151</v>
      </c>
      <c r="H51" t="s">
        <v>113</v>
      </c>
      <c r="I51" t="s">
        <v>87</v>
      </c>
      <c r="J51" t="s">
        <v>71</v>
      </c>
    </row>
    <row r="52" spans="1:13">
      <c r="A52">
        <v>26</v>
      </c>
      <c r="B52" t="s">
        <v>153</v>
      </c>
      <c r="C52" t="s">
        <v>14</v>
      </c>
      <c r="D52" t="s">
        <v>126</v>
      </c>
      <c r="E52" t="s">
        <v>66</v>
      </c>
      <c r="F52" t="s">
        <v>31</v>
      </c>
      <c r="G52" t="s">
        <v>93</v>
      </c>
      <c r="H52" t="s">
        <v>111</v>
      </c>
      <c r="I52" t="s">
        <v>112</v>
      </c>
      <c r="J52" t="s">
        <v>21</v>
      </c>
      <c r="K52">
        <v>16</v>
      </c>
      <c r="L52">
        <v>20.75</v>
      </c>
      <c r="M52">
        <v>36.75</v>
      </c>
    </row>
    <row r="53" spans="1:13">
      <c r="C53" t="s">
        <v>22</v>
      </c>
      <c r="D53" t="s">
        <v>50</v>
      </c>
      <c r="E53" t="s">
        <v>66</v>
      </c>
      <c r="F53" t="s">
        <v>35</v>
      </c>
      <c r="G53" t="s">
        <v>93</v>
      </c>
      <c r="H53" t="s">
        <v>154</v>
      </c>
      <c r="I53" t="s">
        <v>112</v>
      </c>
      <c r="J53" t="s">
        <v>146</v>
      </c>
    </row>
    <row r="54" spans="1:13">
      <c r="A54">
        <v>27</v>
      </c>
      <c r="B54" t="s">
        <v>155</v>
      </c>
      <c r="C54" t="s">
        <v>14</v>
      </c>
      <c r="D54" t="s">
        <v>45</v>
      </c>
      <c r="E54" t="s">
        <v>16</v>
      </c>
      <c r="F54" t="s">
        <v>57</v>
      </c>
      <c r="G54" t="s">
        <v>156</v>
      </c>
      <c r="H54" t="s">
        <v>33</v>
      </c>
      <c r="I54" t="s">
        <v>99</v>
      </c>
      <c r="J54" t="s">
        <v>21</v>
      </c>
      <c r="K54">
        <v>-1</v>
      </c>
      <c r="L54">
        <v>-6.5</v>
      </c>
      <c r="M54">
        <v>-7.5</v>
      </c>
    </row>
    <row r="55" spans="1:13">
      <c r="C55" t="s">
        <v>22</v>
      </c>
      <c r="D55" t="s">
        <v>23</v>
      </c>
      <c r="E55" t="s">
        <v>24</v>
      </c>
      <c r="F55" t="s">
        <v>61</v>
      </c>
      <c r="G55" t="s">
        <v>18</v>
      </c>
      <c r="H55" t="s">
        <v>98</v>
      </c>
      <c r="I55" t="s">
        <v>99</v>
      </c>
      <c r="J55" t="s">
        <v>54</v>
      </c>
    </row>
    <row r="56" spans="1:13">
      <c r="A56">
        <v>28</v>
      </c>
      <c r="B56" t="s">
        <v>157</v>
      </c>
      <c r="C56" t="s">
        <v>14</v>
      </c>
      <c r="D56" t="s">
        <v>45</v>
      </c>
      <c r="E56" t="s">
        <v>158</v>
      </c>
      <c r="F56" t="s">
        <v>77</v>
      </c>
      <c r="G56" t="s">
        <v>41</v>
      </c>
      <c r="H56" t="s">
        <v>58</v>
      </c>
      <c r="I56" t="s">
        <v>96</v>
      </c>
      <c r="J56" t="s">
        <v>21</v>
      </c>
      <c r="K56">
        <v>4</v>
      </c>
      <c r="L56">
        <v>-5.5</v>
      </c>
      <c r="M56">
        <v>-1.5</v>
      </c>
    </row>
    <row r="57" spans="1:13">
      <c r="C57" t="s">
        <v>22</v>
      </c>
      <c r="D57" t="s">
        <v>23</v>
      </c>
      <c r="E57" t="s">
        <v>128</v>
      </c>
      <c r="F57" t="s">
        <v>80</v>
      </c>
      <c r="G57" t="s">
        <v>133</v>
      </c>
      <c r="H57" t="s">
        <v>63</v>
      </c>
      <c r="I57" t="s">
        <v>96</v>
      </c>
      <c r="J57" t="s">
        <v>102</v>
      </c>
    </row>
    <row r="58" spans="1:13">
      <c r="A58">
        <v>29</v>
      </c>
      <c r="B58" t="s">
        <v>159</v>
      </c>
      <c r="C58" t="s">
        <v>14</v>
      </c>
      <c r="D58" t="s">
        <v>126</v>
      </c>
      <c r="E58" t="s">
        <v>128</v>
      </c>
      <c r="F58" t="s">
        <v>47</v>
      </c>
      <c r="G58" t="s">
        <v>41</v>
      </c>
      <c r="H58" t="s">
        <v>58</v>
      </c>
      <c r="I58" t="s">
        <v>99</v>
      </c>
      <c r="J58" t="s">
        <v>21</v>
      </c>
      <c r="K58">
        <v>2.5</v>
      </c>
      <c r="L58">
        <v>-6.25</v>
      </c>
      <c r="M58">
        <v>-3.75</v>
      </c>
    </row>
    <row r="59" spans="1:13">
      <c r="C59" t="s">
        <v>22</v>
      </c>
      <c r="D59" t="s">
        <v>23</v>
      </c>
      <c r="E59" t="s">
        <v>24</v>
      </c>
      <c r="F59" t="s">
        <v>51</v>
      </c>
      <c r="G59" t="s">
        <v>119</v>
      </c>
      <c r="H59" t="s">
        <v>160</v>
      </c>
      <c r="I59" t="s">
        <v>161</v>
      </c>
      <c r="J59" t="s">
        <v>121</v>
      </c>
    </row>
    <row r="60" spans="1:13">
      <c r="A60">
        <v>30</v>
      </c>
      <c r="B60" t="s">
        <v>162</v>
      </c>
      <c r="C60" t="s">
        <v>14</v>
      </c>
      <c r="D60" t="s">
        <v>15</v>
      </c>
      <c r="E60" t="s">
        <v>138</v>
      </c>
      <c r="F60" t="s">
        <v>31</v>
      </c>
      <c r="G60" t="s">
        <v>41</v>
      </c>
      <c r="H60" t="s">
        <v>33</v>
      </c>
      <c r="I60" t="s">
        <v>96</v>
      </c>
      <c r="J60" t="s">
        <v>21</v>
      </c>
      <c r="K60">
        <v>4.25</v>
      </c>
      <c r="L60">
        <v>-3</v>
      </c>
      <c r="M60">
        <v>1.25</v>
      </c>
    </row>
    <row r="61" spans="1:13">
      <c r="C61" t="s">
        <v>22</v>
      </c>
      <c r="D61" t="s">
        <v>23</v>
      </c>
      <c r="E61" t="s">
        <v>105</v>
      </c>
      <c r="F61" t="s">
        <v>35</v>
      </c>
      <c r="G61" t="s">
        <v>18</v>
      </c>
      <c r="H61" t="s">
        <v>98</v>
      </c>
      <c r="I61" t="s">
        <v>99</v>
      </c>
      <c r="J61" t="s">
        <v>43</v>
      </c>
    </row>
    <row r="62" spans="1:13">
      <c r="A62">
        <v>31</v>
      </c>
      <c r="B62" t="s">
        <v>163</v>
      </c>
      <c r="C62" t="s">
        <v>14</v>
      </c>
      <c r="D62" t="s">
        <v>65</v>
      </c>
      <c r="E62" t="s">
        <v>66</v>
      </c>
      <c r="F62" t="s">
        <v>31</v>
      </c>
      <c r="G62" t="s">
        <v>67</v>
      </c>
      <c r="H62" t="s">
        <v>152</v>
      </c>
      <c r="I62" t="s">
        <v>112</v>
      </c>
      <c r="J62" t="s">
        <v>21</v>
      </c>
      <c r="K62">
        <v>21.5</v>
      </c>
      <c r="L62">
        <v>20.75</v>
      </c>
      <c r="M62">
        <v>42.25</v>
      </c>
    </row>
    <row r="63" spans="1:13">
      <c r="C63" t="s">
        <v>22</v>
      </c>
      <c r="D63" t="s">
        <v>50</v>
      </c>
      <c r="E63" t="s">
        <v>66</v>
      </c>
      <c r="F63" t="s">
        <v>35</v>
      </c>
      <c r="G63" t="s">
        <v>164</v>
      </c>
      <c r="H63" t="s">
        <v>165</v>
      </c>
      <c r="I63" t="s">
        <v>49</v>
      </c>
      <c r="J63" t="s">
        <v>71</v>
      </c>
    </row>
    <row r="64" spans="1:13">
      <c r="A64">
        <v>32</v>
      </c>
      <c r="B64" t="s">
        <v>166</v>
      </c>
      <c r="C64" t="s">
        <v>14</v>
      </c>
      <c r="D64" t="s">
        <v>92</v>
      </c>
      <c r="E64" t="s">
        <v>84</v>
      </c>
      <c r="F64" t="s">
        <v>31</v>
      </c>
      <c r="G64" t="s">
        <v>110</v>
      </c>
      <c r="H64" t="s">
        <v>79</v>
      </c>
      <c r="I64" t="s">
        <v>49</v>
      </c>
      <c r="J64" t="s">
        <v>21</v>
      </c>
      <c r="K64">
        <v>16.25</v>
      </c>
      <c r="L64">
        <v>15.75</v>
      </c>
      <c r="M64">
        <v>32</v>
      </c>
    </row>
    <row r="65" spans="1:13">
      <c r="C65" t="s">
        <v>22</v>
      </c>
      <c r="D65" t="s">
        <v>50</v>
      </c>
      <c r="E65" t="s">
        <v>84</v>
      </c>
      <c r="F65" t="s">
        <v>35</v>
      </c>
      <c r="G65" t="s">
        <v>85</v>
      </c>
      <c r="H65" t="s">
        <v>167</v>
      </c>
      <c r="I65" t="s">
        <v>112</v>
      </c>
      <c r="J65" t="s">
        <v>39</v>
      </c>
    </row>
    <row r="66" spans="1:13">
      <c r="A66">
        <v>33</v>
      </c>
      <c r="B66" t="s">
        <v>168</v>
      </c>
      <c r="C66" t="s">
        <v>14</v>
      </c>
      <c r="D66" t="s">
        <v>92</v>
      </c>
      <c r="E66" t="s">
        <v>66</v>
      </c>
      <c r="F66" t="s">
        <v>31</v>
      </c>
      <c r="G66" t="s">
        <v>67</v>
      </c>
      <c r="H66" t="s">
        <v>152</v>
      </c>
      <c r="I66" t="s">
        <v>49</v>
      </c>
      <c r="J66" t="s">
        <v>21</v>
      </c>
      <c r="K66">
        <v>18.5</v>
      </c>
      <c r="L66">
        <v>23.25</v>
      </c>
      <c r="M66">
        <v>41.75</v>
      </c>
    </row>
    <row r="67" spans="1:13">
      <c r="C67" t="s">
        <v>22</v>
      </c>
      <c r="D67" t="s">
        <v>50</v>
      </c>
      <c r="E67" t="s">
        <v>66</v>
      </c>
      <c r="F67" t="s">
        <v>35</v>
      </c>
      <c r="G67" t="s">
        <v>67</v>
      </c>
      <c r="H67" t="s">
        <v>81</v>
      </c>
      <c r="I67" t="s">
        <v>49</v>
      </c>
      <c r="J67" t="s">
        <v>71</v>
      </c>
    </row>
    <row r="68" spans="1:13">
      <c r="A68">
        <v>34</v>
      </c>
      <c r="B68" t="s">
        <v>169</v>
      </c>
      <c r="C68" t="s">
        <v>14</v>
      </c>
      <c r="D68" t="s">
        <v>92</v>
      </c>
      <c r="E68" t="s">
        <v>66</v>
      </c>
      <c r="F68" t="s">
        <v>77</v>
      </c>
      <c r="G68" t="s">
        <v>93</v>
      </c>
      <c r="H68" t="s">
        <v>58</v>
      </c>
      <c r="I68" t="s">
        <v>49</v>
      </c>
      <c r="J68" t="s">
        <v>21</v>
      </c>
      <c r="K68">
        <v>16</v>
      </c>
      <c r="L68">
        <v>20</v>
      </c>
      <c r="M68">
        <v>36</v>
      </c>
    </row>
    <row r="69" spans="1:13">
      <c r="C69" t="s">
        <v>22</v>
      </c>
      <c r="D69" t="s">
        <v>50</v>
      </c>
      <c r="E69" t="s">
        <v>66</v>
      </c>
      <c r="F69" t="s">
        <v>80</v>
      </c>
      <c r="G69" t="s">
        <v>93</v>
      </c>
      <c r="H69" t="s">
        <v>154</v>
      </c>
      <c r="I69" t="s">
        <v>49</v>
      </c>
      <c r="J69" t="s">
        <v>71</v>
      </c>
    </row>
    <row r="70" spans="1:13">
      <c r="A70">
        <v>35</v>
      </c>
      <c r="B70" t="s">
        <v>170</v>
      </c>
      <c r="C70" t="s">
        <v>14</v>
      </c>
      <c r="D70" t="s">
        <v>76</v>
      </c>
      <c r="E70" t="s">
        <v>66</v>
      </c>
      <c r="F70" t="s">
        <v>31</v>
      </c>
      <c r="G70" t="s">
        <v>93</v>
      </c>
      <c r="H70" t="s">
        <v>73</v>
      </c>
      <c r="I70" t="s">
        <v>112</v>
      </c>
      <c r="J70" t="s">
        <v>21</v>
      </c>
      <c r="K70">
        <v>20.5</v>
      </c>
      <c r="L70">
        <v>24</v>
      </c>
      <c r="M70">
        <v>44.5</v>
      </c>
    </row>
    <row r="71" spans="1:13">
      <c r="C71" t="s">
        <v>22</v>
      </c>
      <c r="D71" t="s">
        <v>50</v>
      </c>
      <c r="E71" t="s">
        <v>66</v>
      </c>
      <c r="F71" t="s">
        <v>35</v>
      </c>
      <c r="G71" t="s">
        <v>93</v>
      </c>
      <c r="H71" t="s">
        <v>124</v>
      </c>
      <c r="I71" t="s">
        <v>112</v>
      </c>
      <c r="J71" t="s">
        <v>71</v>
      </c>
    </row>
    <row r="72" spans="1:13">
      <c r="A72">
        <v>36</v>
      </c>
      <c r="B72" t="s">
        <v>171</v>
      </c>
      <c r="C72" t="s">
        <v>14</v>
      </c>
      <c r="D72" t="s">
        <v>45</v>
      </c>
      <c r="E72" t="s">
        <v>158</v>
      </c>
      <c r="F72" t="s">
        <v>77</v>
      </c>
      <c r="G72" t="s">
        <v>172</v>
      </c>
      <c r="H72" t="s">
        <v>58</v>
      </c>
      <c r="I72" t="s">
        <v>99</v>
      </c>
      <c r="J72" t="s">
        <v>21</v>
      </c>
      <c r="K72">
        <v>4.75</v>
      </c>
      <c r="L72">
        <v>1.5</v>
      </c>
      <c r="M72">
        <v>6.25</v>
      </c>
    </row>
    <row r="73" spans="1:13">
      <c r="C73" t="s">
        <v>22</v>
      </c>
      <c r="D73" t="s">
        <v>50</v>
      </c>
      <c r="E73" t="s">
        <v>16</v>
      </c>
      <c r="F73" t="s">
        <v>35</v>
      </c>
      <c r="G73" t="s">
        <v>156</v>
      </c>
      <c r="H73" t="s">
        <v>42</v>
      </c>
      <c r="I73" t="s">
        <v>99</v>
      </c>
      <c r="J73" t="s">
        <v>173</v>
      </c>
    </row>
    <row r="74" spans="1:13">
      <c r="A74">
        <v>37</v>
      </c>
      <c r="B74" t="s">
        <v>174</v>
      </c>
      <c r="C74" t="s">
        <v>14</v>
      </c>
      <c r="D74" t="s">
        <v>126</v>
      </c>
      <c r="E74" t="s">
        <v>84</v>
      </c>
      <c r="F74" t="s">
        <v>47</v>
      </c>
      <c r="G74" t="s">
        <v>85</v>
      </c>
      <c r="H74" t="s">
        <v>58</v>
      </c>
      <c r="I74" t="s">
        <v>20</v>
      </c>
      <c r="J74" t="s">
        <v>21</v>
      </c>
      <c r="K74">
        <v>8.5</v>
      </c>
      <c r="L74">
        <v>2</v>
      </c>
      <c r="M74">
        <v>10.5</v>
      </c>
    </row>
    <row r="75" spans="1:13">
      <c r="C75" t="s">
        <v>22</v>
      </c>
      <c r="D75" t="s">
        <v>50</v>
      </c>
      <c r="E75" t="s">
        <v>175</v>
      </c>
      <c r="F75" t="s">
        <v>51</v>
      </c>
      <c r="G75" t="s">
        <v>41</v>
      </c>
      <c r="H75" t="s">
        <v>107</v>
      </c>
      <c r="I75" t="s">
        <v>20</v>
      </c>
      <c r="J75" t="s">
        <v>176</v>
      </c>
    </row>
    <row r="76" spans="1:13">
      <c r="A76">
        <v>38</v>
      </c>
      <c r="B76" t="s">
        <v>177</v>
      </c>
      <c r="C76" t="s">
        <v>14</v>
      </c>
      <c r="D76" t="s">
        <v>15</v>
      </c>
      <c r="E76" t="s">
        <v>128</v>
      </c>
      <c r="F76" t="s">
        <v>31</v>
      </c>
      <c r="G76" t="s">
        <v>106</v>
      </c>
      <c r="H76" t="s">
        <v>33</v>
      </c>
      <c r="I76" t="s">
        <v>135</v>
      </c>
      <c r="J76" t="s">
        <v>21</v>
      </c>
      <c r="K76">
        <v>4</v>
      </c>
      <c r="L76">
        <v>-1.25</v>
      </c>
      <c r="M76">
        <v>2.75</v>
      </c>
    </row>
    <row r="77" spans="1:13">
      <c r="C77" t="s">
        <v>22</v>
      </c>
      <c r="D77" t="s">
        <v>23</v>
      </c>
      <c r="E77" t="s">
        <v>16</v>
      </c>
      <c r="F77" t="s">
        <v>35</v>
      </c>
      <c r="G77" t="s">
        <v>156</v>
      </c>
      <c r="H77" t="s">
        <v>42</v>
      </c>
      <c r="I77" t="s">
        <v>20</v>
      </c>
      <c r="J77" t="s">
        <v>121</v>
      </c>
    </row>
    <row r="78" spans="1:13">
      <c r="A78">
        <v>39</v>
      </c>
      <c r="B78" t="s">
        <v>178</v>
      </c>
      <c r="C78" t="s">
        <v>14</v>
      </c>
      <c r="D78" t="s">
        <v>45</v>
      </c>
      <c r="E78" t="s">
        <v>84</v>
      </c>
      <c r="F78" t="s">
        <v>179</v>
      </c>
      <c r="G78" t="s">
        <v>52</v>
      </c>
      <c r="H78" t="s">
        <v>111</v>
      </c>
      <c r="I78" t="s">
        <v>59</v>
      </c>
      <c r="J78" t="s">
        <v>21</v>
      </c>
      <c r="K78">
        <v>4.75</v>
      </c>
      <c r="L78">
        <v>-3</v>
      </c>
      <c r="M78">
        <v>1.75</v>
      </c>
    </row>
    <row r="79" spans="1:13">
      <c r="C79" t="s">
        <v>22</v>
      </c>
      <c r="D79" t="s">
        <v>50</v>
      </c>
      <c r="E79" t="s">
        <v>175</v>
      </c>
      <c r="F79" t="s">
        <v>180</v>
      </c>
      <c r="G79" t="s">
        <v>119</v>
      </c>
      <c r="H79" t="s">
        <v>63</v>
      </c>
      <c r="I79" t="s">
        <v>59</v>
      </c>
      <c r="J79" t="s">
        <v>181</v>
      </c>
    </row>
    <row r="80" spans="1:13">
      <c r="A80">
        <v>40</v>
      </c>
      <c r="B80" t="s">
        <v>182</v>
      </c>
      <c r="C80" t="s">
        <v>14</v>
      </c>
      <c r="D80" t="s">
        <v>45</v>
      </c>
      <c r="E80" t="s">
        <v>16</v>
      </c>
      <c r="F80" t="s">
        <v>47</v>
      </c>
      <c r="G80" t="s">
        <v>156</v>
      </c>
      <c r="H80" t="s">
        <v>58</v>
      </c>
      <c r="I80" t="s">
        <v>99</v>
      </c>
      <c r="J80" t="s">
        <v>21</v>
      </c>
      <c r="K80">
        <v>1.5</v>
      </c>
      <c r="L80">
        <v>-7</v>
      </c>
      <c r="M80">
        <v>-5.5</v>
      </c>
    </row>
    <row r="81" spans="1:13">
      <c r="C81" t="s">
        <v>22</v>
      </c>
      <c r="D81" t="s">
        <v>23</v>
      </c>
      <c r="E81" t="s">
        <v>24</v>
      </c>
      <c r="F81" t="s">
        <v>51</v>
      </c>
      <c r="G81" t="s">
        <v>18</v>
      </c>
      <c r="H81" t="s">
        <v>53</v>
      </c>
      <c r="I81" t="s">
        <v>99</v>
      </c>
      <c r="J81" t="s">
        <v>121</v>
      </c>
    </row>
    <row r="82" spans="1:13">
      <c r="A82">
        <v>41</v>
      </c>
      <c r="B82" t="s">
        <v>183</v>
      </c>
      <c r="C82" t="s">
        <v>14</v>
      </c>
      <c r="D82" t="s">
        <v>76</v>
      </c>
      <c r="E82" t="s">
        <v>84</v>
      </c>
      <c r="F82" t="s">
        <v>31</v>
      </c>
      <c r="G82" t="s">
        <v>67</v>
      </c>
      <c r="H82" t="s">
        <v>58</v>
      </c>
      <c r="I82" t="s">
        <v>112</v>
      </c>
      <c r="J82" t="s">
        <v>21</v>
      </c>
      <c r="K82">
        <v>18.5</v>
      </c>
      <c r="L82">
        <v>21</v>
      </c>
      <c r="M82">
        <v>39.5</v>
      </c>
    </row>
    <row r="83" spans="1:13">
      <c r="C83" t="s">
        <v>22</v>
      </c>
      <c r="D83" t="s">
        <v>50</v>
      </c>
      <c r="E83" t="s">
        <v>84</v>
      </c>
      <c r="F83" t="s">
        <v>35</v>
      </c>
      <c r="G83" t="s">
        <v>67</v>
      </c>
      <c r="H83" t="s">
        <v>165</v>
      </c>
      <c r="I83" t="s">
        <v>112</v>
      </c>
      <c r="J83" t="s">
        <v>71</v>
      </c>
    </row>
    <row r="84" spans="1:13">
      <c r="A84">
        <v>42</v>
      </c>
      <c r="B84" t="s">
        <v>184</v>
      </c>
      <c r="C84" t="s">
        <v>14</v>
      </c>
      <c r="D84" t="s">
        <v>45</v>
      </c>
      <c r="E84" t="s">
        <v>46</v>
      </c>
      <c r="F84" t="s">
        <v>77</v>
      </c>
      <c r="G84" t="s">
        <v>172</v>
      </c>
      <c r="H84" t="s">
        <v>58</v>
      </c>
      <c r="I84" t="s">
        <v>99</v>
      </c>
      <c r="J84" t="s">
        <v>21</v>
      </c>
      <c r="K84">
        <v>6.5</v>
      </c>
      <c r="L84">
        <v>10.25</v>
      </c>
      <c r="M84">
        <v>16.75</v>
      </c>
    </row>
    <row r="85" spans="1:13">
      <c r="C85" t="s">
        <v>22</v>
      </c>
      <c r="D85" t="s">
        <v>23</v>
      </c>
      <c r="E85" t="s">
        <v>46</v>
      </c>
      <c r="F85" t="s">
        <v>80</v>
      </c>
      <c r="G85" t="s">
        <v>172</v>
      </c>
      <c r="H85" t="s">
        <v>165</v>
      </c>
      <c r="I85" t="s">
        <v>99</v>
      </c>
      <c r="J85" t="s">
        <v>114</v>
      </c>
    </row>
    <row r="86" spans="1:13">
      <c r="A86">
        <v>43</v>
      </c>
      <c r="B86" t="s">
        <v>185</v>
      </c>
      <c r="C86" t="s">
        <v>14</v>
      </c>
      <c r="D86" t="s">
        <v>186</v>
      </c>
      <c r="E86" t="s">
        <v>105</v>
      </c>
      <c r="F86" t="s">
        <v>31</v>
      </c>
      <c r="G86" t="s">
        <v>187</v>
      </c>
      <c r="H86" t="s">
        <v>111</v>
      </c>
      <c r="I86" t="s">
        <v>135</v>
      </c>
      <c r="J86" t="s">
        <v>21</v>
      </c>
      <c r="K86">
        <v>9.5</v>
      </c>
      <c r="L86">
        <v>9.75</v>
      </c>
      <c r="M86">
        <v>19.25</v>
      </c>
    </row>
    <row r="87" spans="1:13">
      <c r="C87" t="s">
        <v>22</v>
      </c>
      <c r="D87" t="s">
        <v>23</v>
      </c>
      <c r="E87" t="s">
        <v>105</v>
      </c>
      <c r="F87" t="s">
        <v>35</v>
      </c>
      <c r="G87" t="s">
        <v>187</v>
      </c>
      <c r="H87" t="s">
        <v>188</v>
      </c>
      <c r="I87" t="s">
        <v>135</v>
      </c>
      <c r="J87" t="s">
        <v>189</v>
      </c>
    </row>
    <row r="88" spans="1:13">
      <c r="A88">
        <v>44</v>
      </c>
      <c r="B88" t="s">
        <v>190</v>
      </c>
      <c r="C88" t="s">
        <v>14</v>
      </c>
      <c r="D88" t="s">
        <v>191</v>
      </c>
      <c r="E88" t="s">
        <v>66</v>
      </c>
      <c r="F88" t="s">
        <v>77</v>
      </c>
      <c r="G88" t="s">
        <v>110</v>
      </c>
      <c r="H88" t="s">
        <v>148</v>
      </c>
      <c r="I88" t="s">
        <v>49</v>
      </c>
      <c r="J88" t="s">
        <v>21</v>
      </c>
      <c r="K88">
        <v>17.75</v>
      </c>
      <c r="L88">
        <v>20.25</v>
      </c>
      <c r="M88">
        <v>38</v>
      </c>
    </row>
    <row r="89" spans="1:13">
      <c r="C89" t="s">
        <v>22</v>
      </c>
      <c r="D89" t="s">
        <v>50</v>
      </c>
      <c r="E89" t="s">
        <v>66</v>
      </c>
      <c r="F89" t="s">
        <v>80</v>
      </c>
      <c r="G89" t="s">
        <v>110</v>
      </c>
      <c r="H89" t="s">
        <v>81</v>
      </c>
      <c r="I89" t="s">
        <v>135</v>
      </c>
      <c r="J89" t="s">
        <v>71</v>
      </c>
    </row>
    <row r="90" spans="1:13">
      <c r="A90">
        <v>45</v>
      </c>
      <c r="B90" t="s">
        <v>192</v>
      </c>
      <c r="C90" t="s">
        <v>14</v>
      </c>
      <c r="D90" t="s">
        <v>45</v>
      </c>
      <c r="E90" t="s">
        <v>16</v>
      </c>
      <c r="F90" t="s">
        <v>117</v>
      </c>
      <c r="G90" t="s">
        <v>41</v>
      </c>
      <c r="H90" t="s">
        <v>33</v>
      </c>
      <c r="I90" t="s">
        <v>99</v>
      </c>
      <c r="J90" t="s">
        <v>21</v>
      </c>
      <c r="K90">
        <v>-0.5</v>
      </c>
      <c r="L90">
        <v>-9.25</v>
      </c>
      <c r="M90">
        <v>-9.75</v>
      </c>
    </row>
    <row r="91" spans="1:13">
      <c r="C91" t="s">
        <v>22</v>
      </c>
      <c r="D91" t="s">
        <v>23</v>
      </c>
      <c r="E91" t="s">
        <v>16</v>
      </c>
      <c r="F91" t="s">
        <v>61</v>
      </c>
      <c r="G91" t="s">
        <v>193</v>
      </c>
      <c r="H91" t="s">
        <v>120</v>
      </c>
      <c r="I91" t="s">
        <v>99</v>
      </c>
      <c r="J91" t="s">
        <v>194</v>
      </c>
    </row>
    <row r="92" spans="1:13">
      <c r="A92">
        <v>46</v>
      </c>
      <c r="B92" t="s">
        <v>195</v>
      </c>
      <c r="C92" t="s">
        <v>14</v>
      </c>
      <c r="D92" t="s">
        <v>45</v>
      </c>
      <c r="E92" t="s">
        <v>16</v>
      </c>
      <c r="F92" t="s">
        <v>47</v>
      </c>
      <c r="G92" t="s">
        <v>41</v>
      </c>
      <c r="H92" t="s">
        <v>19</v>
      </c>
      <c r="I92" t="s">
        <v>59</v>
      </c>
      <c r="J92" t="s">
        <v>21</v>
      </c>
      <c r="K92">
        <v>-0.5</v>
      </c>
      <c r="L92">
        <v>-7</v>
      </c>
      <c r="M92">
        <v>-7.5</v>
      </c>
    </row>
    <row r="93" spans="1:13">
      <c r="C93" t="s">
        <v>22</v>
      </c>
      <c r="D93" t="s">
        <v>50</v>
      </c>
      <c r="E93" t="s">
        <v>56</v>
      </c>
      <c r="F93" t="s">
        <v>51</v>
      </c>
      <c r="G93" t="s">
        <v>133</v>
      </c>
      <c r="H93" t="s">
        <v>63</v>
      </c>
      <c r="I93" t="s">
        <v>59</v>
      </c>
      <c r="J93" t="s">
        <v>43</v>
      </c>
    </row>
    <row r="94" spans="1:13">
      <c r="A94">
        <v>47</v>
      </c>
      <c r="B94" t="s">
        <v>196</v>
      </c>
      <c r="C94" t="s">
        <v>14</v>
      </c>
      <c r="D94" t="s">
        <v>186</v>
      </c>
      <c r="E94" t="s">
        <v>56</v>
      </c>
      <c r="F94" t="s">
        <v>197</v>
      </c>
      <c r="G94" t="s">
        <v>41</v>
      </c>
      <c r="H94" t="s">
        <v>19</v>
      </c>
      <c r="I94" t="s">
        <v>59</v>
      </c>
      <c r="J94" t="s">
        <v>21</v>
      </c>
      <c r="K94">
        <v>-2.75</v>
      </c>
      <c r="L94">
        <v>-11.25</v>
      </c>
      <c r="M94">
        <v>-14</v>
      </c>
    </row>
    <row r="95" spans="1:13">
      <c r="C95" t="s">
        <v>22</v>
      </c>
      <c r="D95" t="s">
        <v>50</v>
      </c>
      <c r="E95" t="s">
        <v>60</v>
      </c>
      <c r="F95" t="s">
        <v>61</v>
      </c>
      <c r="G95" t="s">
        <v>129</v>
      </c>
      <c r="H95" t="s">
        <v>120</v>
      </c>
      <c r="I95" t="s">
        <v>198</v>
      </c>
      <c r="J95" t="s">
        <v>43</v>
      </c>
    </row>
    <row r="96" spans="1:13">
      <c r="A96">
        <v>48</v>
      </c>
      <c r="B96" t="s">
        <v>199</v>
      </c>
      <c r="C96" t="s">
        <v>14</v>
      </c>
      <c r="D96" t="s">
        <v>15</v>
      </c>
      <c r="E96" t="s">
        <v>127</v>
      </c>
      <c r="F96" t="s">
        <v>47</v>
      </c>
      <c r="G96" t="s">
        <v>200</v>
      </c>
      <c r="H96" t="s">
        <v>58</v>
      </c>
      <c r="I96" t="s">
        <v>135</v>
      </c>
      <c r="J96" t="s">
        <v>21</v>
      </c>
      <c r="K96">
        <v>1.25</v>
      </c>
      <c r="L96">
        <v>-8</v>
      </c>
      <c r="M96">
        <v>-6.75</v>
      </c>
    </row>
    <row r="97" spans="1:13">
      <c r="C97" t="s">
        <v>22</v>
      </c>
      <c r="D97" t="s">
        <v>23</v>
      </c>
      <c r="E97" t="s">
        <v>118</v>
      </c>
      <c r="F97" t="s">
        <v>51</v>
      </c>
      <c r="G97" t="s">
        <v>129</v>
      </c>
      <c r="H97" t="s">
        <v>201</v>
      </c>
      <c r="I97" t="s">
        <v>20</v>
      </c>
      <c r="J97" t="s">
        <v>43</v>
      </c>
    </row>
    <row r="98" spans="1:13">
      <c r="A98">
        <v>49</v>
      </c>
      <c r="B98" t="s">
        <v>202</v>
      </c>
      <c r="C98" t="s">
        <v>14</v>
      </c>
      <c r="D98" t="s">
        <v>45</v>
      </c>
      <c r="E98" t="s">
        <v>66</v>
      </c>
      <c r="F98" t="s">
        <v>31</v>
      </c>
      <c r="G98" t="s">
        <v>172</v>
      </c>
      <c r="H98" t="s">
        <v>19</v>
      </c>
      <c r="I98" t="s">
        <v>96</v>
      </c>
      <c r="J98" t="s">
        <v>21</v>
      </c>
      <c r="K98">
        <v>8.75</v>
      </c>
      <c r="L98">
        <v>6.25</v>
      </c>
      <c r="M98">
        <v>15</v>
      </c>
    </row>
    <row r="99" spans="1:13">
      <c r="C99" t="s">
        <v>22</v>
      </c>
      <c r="D99" t="s">
        <v>23</v>
      </c>
      <c r="E99" t="s">
        <v>66</v>
      </c>
      <c r="F99" t="s">
        <v>35</v>
      </c>
      <c r="G99" t="s">
        <v>48</v>
      </c>
      <c r="H99" t="s">
        <v>42</v>
      </c>
      <c r="I99" t="s">
        <v>96</v>
      </c>
      <c r="J99" t="s">
        <v>173</v>
      </c>
    </row>
    <row r="100" spans="1:13">
      <c r="A100">
        <v>50</v>
      </c>
      <c r="B100" t="s">
        <v>203</v>
      </c>
      <c r="C100" t="s">
        <v>14</v>
      </c>
      <c r="D100" t="s">
        <v>15</v>
      </c>
      <c r="E100" t="s">
        <v>204</v>
      </c>
      <c r="F100" t="s">
        <v>179</v>
      </c>
      <c r="G100" t="s">
        <v>151</v>
      </c>
      <c r="H100" t="s">
        <v>79</v>
      </c>
      <c r="I100" t="s">
        <v>20</v>
      </c>
      <c r="J100" t="s">
        <v>21</v>
      </c>
      <c r="K100">
        <v>7.75</v>
      </c>
      <c r="L100">
        <v>2.25</v>
      </c>
      <c r="M100">
        <v>10</v>
      </c>
    </row>
    <row r="101" spans="1:13">
      <c r="C101" t="s">
        <v>22</v>
      </c>
      <c r="D101" t="s">
        <v>23</v>
      </c>
      <c r="E101" t="s">
        <v>128</v>
      </c>
      <c r="F101" t="s">
        <v>180</v>
      </c>
      <c r="G101" t="s">
        <v>48</v>
      </c>
      <c r="H101" t="s">
        <v>205</v>
      </c>
      <c r="I101" t="s">
        <v>20</v>
      </c>
      <c r="J101" t="s">
        <v>206</v>
      </c>
    </row>
    <row r="102" spans="1:13">
      <c r="A102">
        <v>51</v>
      </c>
      <c r="B102" t="s">
        <v>207</v>
      </c>
      <c r="C102" t="s">
        <v>14</v>
      </c>
      <c r="D102" t="s">
        <v>191</v>
      </c>
      <c r="E102" t="s">
        <v>66</v>
      </c>
      <c r="F102" t="s">
        <v>31</v>
      </c>
      <c r="G102" t="s">
        <v>93</v>
      </c>
      <c r="H102" t="s">
        <v>152</v>
      </c>
      <c r="I102" t="s">
        <v>49</v>
      </c>
      <c r="J102" t="s">
        <v>21</v>
      </c>
      <c r="K102">
        <v>19</v>
      </c>
      <c r="L102">
        <v>20.5</v>
      </c>
      <c r="M102">
        <v>39.5</v>
      </c>
    </row>
    <row r="103" spans="1:13">
      <c r="C103" t="s">
        <v>22</v>
      </c>
      <c r="D103" t="s">
        <v>50</v>
      </c>
      <c r="E103" t="s">
        <v>66</v>
      </c>
      <c r="F103" t="s">
        <v>35</v>
      </c>
      <c r="G103" t="s">
        <v>93</v>
      </c>
      <c r="H103" t="s">
        <v>154</v>
      </c>
      <c r="I103" t="s">
        <v>49</v>
      </c>
      <c r="J103" t="s">
        <v>71</v>
      </c>
    </row>
    <row r="104" spans="1:13">
      <c r="A104">
        <v>52</v>
      </c>
      <c r="B104" t="s">
        <v>208</v>
      </c>
      <c r="C104" t="s">
        <v>14</v>
      </c>
      <c r="D104" t="s">
        <v>126</v>
      </c>
      <c r="E104" t="s">
        <v>66</v>
      </c>
      <c r="F104" t="s">
        <v>47</v>
      </c>
      <c r="G104" t="s">
        <v>209</v>
      </c>
      <c r="H104" t="s">
        <v>58</v>
      </c>
      <c r="I104" t="s">
        <v>49</v>
      </c>
      <c r="J104" t="s">
        <v>21</v>
      </c>
      <c r="K104">
        <v>11.75</v>
      </c>
      <c r="L104">
        <v>12.25</v>
      </c>
      <c r="M104">
        <v>24</v>
      </c>
    </row>
    <row r="105" spans="1:13">
      <c r="C105" t="s">
        <v>22</v>
      </c>
      <c r="D105" t="s">
        <v>23</v>
      </c>
      <c r="E105" t="s">
        <v>66</v>
      </c>
      <c r="F105" t="s">
        <v>51</v>
      </c>
      <c r="G105" t="s">
        <v>41</v>
      </c>
      <c r="H105" t="s">
        <v>113</v>
      </c>
      <c r="I105" t="s">
        <v>49</v>
      </c>
      <c r="J105" t="s">
        <v>146</v>
      </c>
    </row>
    <row r="106" spans="1:13">
      <c r="A106">
        <v>53</v>
      </c>
      <c r="B106" t="s">
        <v>210</v>
      </c>
      <c r="C106" t="s">
        <v>14</v>
      </c>
      <c r="D106" t="s">
        <v>92</v>
      </c>
      <c r="E106" t="s">
        <v>66</v>
      </c>
      <c r="F106" t="s">
        <v>31</v>
      </c>
      <c r="G106" t="s">
        <v>67</v>
      </c>
      <c r="H106" t="s">
        <v>111</v>
      </c>
      <c r="I106" t="s">
        <v>211</v>
      </c>
      <c r="J106" t="s">
        <v>21</v>
      </c>
      <c r="K106">
        <v>18.5</v>
      </c>
      <c r="L106">
        <v>22</v>
      </c>
      <c r="M106">
        <v>40.5</v>
      </c>
    </row>
    <row r="107" spans="1:13">
      <c r="C107" t="s">
        <v>22</v>
      </c>
      <c r="D107" t="s">
        <v>50</v>
      </c>
      <c r="E107" t="s">
        <v>66</v>
      </c>
      <c r="F107" t="s">
        <v>35</v>
      </c>
      <c r="G107" t="s">
        <v>67</v>
      </c>
      <c r="H107" t="s">
        <v>154</v>
      </c>
      <c r="I107" t="s">
        <v>211</v>
      </c>
      <c r="J107" t="s">
        <v>71</v>
      </c>
    </row>
    <row r="108" spans="1:13">
      <c r="A108">
        <v>54</v>
      </c>
      <c r="B108" t="s">
        <v>212</v>
      </c>
      <c r="C108" t="s">
        <v>14</v>
      </c>
      <c r="D108" t="s">
        <v>45</v>
      </c>
      <c r="E108" t="s">
        <v>16</v>
      </c>
      <c r="F108" t="s">
        <v>77</v>
      </c>
      <c r="G108" t="s">
        <v>156</v>
      </c>
      <c r="H108" t="s">
        <v>58</v>
      </c>
      <c r="I108" t="s">
        <v>20</v>
      </c>
      <c r="J108" t="s">
        <v>21</v>
      </c>
      <c r="K108">
        <v>3</v>
      </c>
      <c r="L108">
        <v>-3.75</v>
      </c>
      <c r="M108">
        <v>-0.75</v>
      </c>
    </row>
    <row r="109" spans="1:13">
      <c r="C109" t="s">
        <v>22</v>
      </c>
      <c r="D109" t="s">
        <v>50</v>
      </c>
      <c r="E109" t="s">
        <v>24</v>
      </c>
      <c r="F109" t="s">
        <v>80</v>
      </c>
      <c r="G109" t="s">
        <v>97</v>
      </c>
      <c r="H109" t="s">
        <v>136</v>
      </c>
      <c r="I109" t="s">
        <v>20</v>
      </c>
      <c r="J109" t="s">
        <v>194</v>
      </c>
    </row>
    <row r="110" spans="1:13">
      <c r="A110">
        <v>55</v>
      </c>
      <c r="B110" t="s">
        <v>213</v>
      </c>
      <c r="C110" t="s">
        <v>14</v>
      </c>
      <c r="D110" t="s">
        <v>186</v>
      </c>
      <c r="E110" t="s">
        <v>84</v>
      </c>
      <c r="F110" t="s">
        <v>31</v>
      </c>
      <c r="G110" t="s">
        <v>151</v>
      </c>
      <c r="H110" t="s">
        <v>152</v>
      </c>
      <c r="I110" t="s">
        <v>214</v>
      </c>
      <c r="J110" t="s">
        <v>21</v>
      </c>
      <c r="K110">
        <v>12.5</v>
      </c>
      <c r="L110">
        <v>5.75</v>
      </c>
      <c r="M110">
        <v>18.25</v>
      </c>
    </row>
    <row r="111" spans="1:13">
      <c r="C111" t="s">
        <v>22</v>
      </c>
      <c r="D111" t="s">
        <v>23</v>
      </c>
      <c r="E111" t="s">
        <v>158</v>
      </c>
      <c r="F111" t="s">
        <v>35</v>
      </c>
      <c r="G111" t="s">
        <v>106</v>
      </c>
      <c r="H111" t="s">
        <v>165</v>
      </c>
      <c r="I111" t="s">
        <v>38</v>
      </c>
      <c r="J111" t="s">
        <v>28</v>
      </c>
    </row>
    <row r="112" spans="1:13">
      <c r="A112">
        <v>56</v>
      </c>
      <c r="B112" t="s">
        <v>215</v>
      </c>
      <c r="C112" t="s">
        <v>14</v>
      </c>
      <c r="D112" t="s">
        <v>45</v>
      </c>
      <c r="E112" t="s">
        <v>16</v>
      </c>
      <c r="F112" t="s">
        <v>77</v>
      </c>
      <c r="G112" t="s">
        <v>41</v>
      </c>
      <c r="H112" t="s">
        <v>19</v>
      </c>
      <c r="I112" t="s">
        <v>20</v>
      </c>
      <c r="J112" t="s">
        <v>21</v>
      </c>
      <c r="K112">
        <v>1.5</v>
      </c>
      <c r="L112">
        <v>-7.5</v>
      </c>
      <c r="M112">
        <v>-6</v>
      </c>
    </row>
    <row r="113" spans="3:10">
      <c r="C113" t="s">
        <v>22</v>
      </c>
      <c r="D113" t="s">
        <v>23</v>
      </c>
      <c r="E113" t="s">
        <v>60</v>
      </c>
      <c r="F113" t="s">
        <v>80</v>
      </c>
      <c r="G113" t="s">
        <v>129</v>
      </c>
      <c r="H113" t="s">
        <v>27</v>
      </c>
      <c r="I113" t="s">
        <v>20</v>
      </c>
      <c r="J113" t="s">
        <v>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277B4-8360-454C-8B92-22F4811BF727}">
  <dimension ref="A1:E19"/>
  <sheetViews>
    <sheetView workbookViewId="0">
      <selection activeCell="D15" sqref="D15"/>
    </sheetView>
  </sheetViews>
  <sheetFormatPr defaultRowHeight="14.5"/>
  <cols>
    <col min="1" max="1" width="34.26953125" bestFit="1" customWidth="1"/>
    <col min="2" max="2" width="19.81640625" bestFit="1" customWidth="1"/>
    <col min="3" max="5" width="19.81640625" customWidth="1"/>
  </cols>
  <sheetData>
    <row r="1" spans="1:5">
      <c r="A1" t="s">
        <v>0</v>
      </c>
      <c r="B1" t="s">
        <v>217</v>
      </c>
      <c r="C1" t="s">
        <v>218</v>
      </c>
      <c r="D1" t="s">
        <v>219</v>
      </c>
    </row>
    <row r="2" spans="1:5">
      <c r="A2" t="s">
        <v>220</v>
      </c>
      <c r="B2" t="s">
        <v>221</v>
      </c>
      <c r="C2" t="s">
        <v>222</v>
      </c>
      <c r="D2" t="s">
        <v>223</v>
      </c>
    </row>
    <row r="3" spans="1:5">
      <c r="A3" t="s">
        <v>224</v>
      </c>
      <c r="B3" t="s">
        <v>225</v>
      </c>
      <c r="C3" t="s">
        <v>226</v>
      </c>
      <c r="D3" t="s">
        <v>227</v>
      </c>
    </row>
    <row r="4" spans="1:5">
      <c r="A4" t="s">
        <v>228</v>
      </c>
      <c r="B4" t="s">
        <v>229</v>
      </c>
      <c r="C4" t="s">
        <v>230</v>
      </c>
      <c r="D4" t="s">
        <v>231</v>
      </c>
    </row>
    <row r="5" spans="1:5">
      <c r="A5" t="s">
        <v>232</v>
      </c>
      <c r="B5" t="s">
        <v>233</v>
      </c>
      <c r="C5" t="s">
        <v>234</v>
      </c>
      <c r="D5" t="s">
        <v>235</v>
      </c>
    </row>
    <row r="6" spans="1:5">
      <c r="A6" t="s">
        <v>236</v>
      </c>
      <c r="B6" t="s">
        <v>237</v>
      </c>
      <c r="C6" t="s">
        <v>238</v>
      </c>
      <c r="D6" t="s">
        <v>239</v>
      </c>
    </row>
    <row r="7" spans="1:5">
      <c r="A7" t="s">
        <v>240</v>
      </c>
      <c r="B7" t="s">
        <v>241</v>
      </c>
      <c r="C7" t="s">
        <v>241</v>
      </c>
      <c r="D7" t="s">
        <v>241</v>
      </c>
    </row>
    <row r="8" spans="1:5">
      <c r="A8" t="s">
        <v>242</v>
      </c>
      <c r="B8" t="s">
        <v>243</v>
      </c>
      <c r="C8" t="s">
        <v>244</v>
      </c>
      <c r="D8" t="s">
        <v>245</v>
      </c>
    </row>
    <row r="13" spans="1:5">
      <c r="B13" s="21" t="str">
        <f>C2</f>
        <v>Gender Identity Tally</v>
      </c>
      <c r="C13" s="21"/>
      <c r="D13" s="21" t="str">
        <f>D2</f>
        <v>OVERALL Tally</v>
      </c>
      <c r="E13" s="21"/>
    </row>
    <row r="14" spans="1:5">
      <c r="B14" t="s">
        <v>310</v>
      </c>
      <c r="C14" t="s">
        <v>311</v>
      </c>
      <c r="D14" t="s">
        <v>310</v>
      </c>
      <c r="E14" t="s">
        <v>311</v>
      </c>
    </row>
    <row r="15" spans="1:5">
      <c r="A15" s="7" t="s">
        <v>305</v>
      </c>
      <c r="B15" s="8">
        <v>17.260000000000002</v>
      </c>
      <c r="C15" s="8">
        <v>99</v>
      </c>
      <c r="D15" s="8">
        <v>36.76</v>
      </c>
      <c r="E15" s="8">
        <v>99</v>
      </c>
    </row>
    <row r="16" spans="1:5">
      <c r="A16" s="9" t="s">
        <v>306</v>
      </c>
      <c r="B16" s="10">
        <v>11.6</v>
      </c>
      <c r="C16" s="10">
        <v>17</v>
      </c>
      <c r="D16" s="10">
        <v>24.6</v>
      </c>
      <c r="E16" s="10">
        <v>36.5</v>
      </c>
    </row>
    <row r="17" spans="1:5">
      <c r="A17" s="11" t="s">
        <v>307</v>
      </c>
      <c r="B17" s="12">
        <v>5.76</v>
      </c>
      <c r="C17" s="12">
        <v>11.25</v>
      </c>
      <c r="D17" s="12">
        <v>12.26</v>
      </c>
      <c r="E17" s="12">
        <v>24.25</v>
      </c>
    </row>
    <row r="18" spans="1:5">
      <c r="A18" s="13" t="s">
        <v>308</v>
      </c>
      <c r="B18" s="14">
        <v>0</v>
      </c>
      <c r="C18" s="14">
        <v>5.5</v>
      </c>
      <c r="D18" s="14">
        <v>0</v>
      </c>
      <c r="E18" s="14">
        <v>12</v>
      </c>
    </row>
    <row r="19" spans="1:5">
      <c r="A19" s="15" t="s">
        <v>309</v>
      </c>
      <c r="B19" s="16">
        <v>-99</v>
      </c>
      <c r="C19" s="16">
        <v>-0.01</v>
      </c>
      <c r="D19" s="16">
        <v>-99</v>
      </c>
      <c r="E19" s="16">
        <v>-0.01</v>
      </c>
    </row>
  </sheetData>
  <mergeCells count="2">
    <mergeCell ref="B13:C13"/>
    <mergeCell ref="D13:E13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287EB-4A46-4DFA-AAF8-4F9518260C79}">
  <dimension ref="A1:K58"/>
  <sheetViews>
    <sheetView workbookViewId="0">
      <selection activeCell="H23" sqref="H23"/>
    </sheetView>
  </sheetViews>
  <sheetFormatPr defaultRowHeight="14.5"/>
  <cols>
    <col min="11" max="11" width="24.90625" bestFit="1" customWidth="1"/>
  </cols>
  <sheetData>
    <row r="1" spans="1:11">
      <c r="A1" s="6" t="s">
        <v>246</v>
      </c>
      <c r="B1" s="5" t="s">
        <v>13</v>
      </c>
      <c r="K1" s="4"/>
    </row>
    <row r="2" spans="1:11">
      <c r="A2" s="6" t="s">
        <v>247</v>
      </c>
      <c r="B2" s="5" t="s">
        <v>29</v>
      </c>
      <c r="K2" s="4"/>
    </row>
    <row r="3" spans="1:11">
      <c r="A3" s="6" t="s">
        <v>248</v>
      </c>
      <c r="B3" s="5" t="s">
        <v>44</v>
      </c>
      <c r="K3" s="4"/>
    </row>
    <row r="4" spans="1:11">
      <c r="A4" s="6" t="s">
        <v>249</v>
      </c>
      <c r="B4" s="5" t="s">
        <v>55</v>
      </c>
      <c r="K4" s="4"/>
    </row>
    <row r="5" spans="1:11">
      <c r="A5" s="6" t="s">
        <v>250</v>
      </c>
      <c r="B5" s="5" t="s">
        <v>40</v>
      </c>
      <c r="K5" s="4"/>
    </row>
    <row r="6" spans="1:11">
      <c r="A6" s="6" t="s">
        <v>251</v>
      </c>
      <c r="B6" s="5" t="s">
        <v>64</v>
      </c>
      <c r="K6" s="4"/>
    </row>
    <row r="7" spans="1:11">
      <c r="A7" s="6" t="s">
        <v>252</v>
      </c>
      <c r="B7" s="5" t="s">
        <v>72</v>
      </c>
      <c r="K7" s="4"/>
    </row>
    <row r="8" spans="1:11">
      <c r="A8" s="6" t="s">
        <v>253</v>
      </c>
      <c r="B8" s="5" t="s">
        <v>75</v>
      </c>
      <c r="K8" s="4"/>
    </row>
    <row r="9" spans="1:11">
      <c r="A9" s="6" t="s">
        <v>254</v>
      </c>
      <c r="B9" s="5" t="s">
        <v>82</v>
      </c>
      <c r="K9" s="4"/>
    </row>
    <row r="10" spans="1:11">
      <c r="A10" s="6" t="s">
        <v>255</v>
      </c>
      <c r="B10" s="5" t="s">
        <v>91</v>
      </c>
      <c r="K10" s="4"/>
    </row>
    <row r="11" spans="1:11">
      <c r="A11" s="6" t="s">
        <v>256</v>
      </c>
      <c r="B11" s="5" t="s">
        <v>95</v>
      </c>
      <c r="K11" s="4"/>
    </row>
    <row r="12" spans="1:11">
      <c r="A12" s="6" t="s">
        <v>257</v>
      </c>
      <c r="B12" s="5" t="s">
        <v>100</v>
      </c>
      <c r="K12" s="4"/>
    </row>
    <row r="13" spans="1:11">
      <c r="A13" s="6" t="s">
        <v>258</v>
      </c>
      <c r="B13" s="5" t="s">
        <v>103</v>
      </c>
      <c r="K13" s="4"/>
    </row>
    <row r="14" spans="1:11">
      <c r="A14" s="6" t="s">
        <v>259</v>
      </c>
      <c r="B14" s="5" t="s">
        <v>108</v>
      </c>
      <c r="K14" s="4"/>
    </row>
    <row r="15" spans="1:11">
      <c r="A15" s="6" t="s">
        <v>260</v>
      </c>
      <c r="B15" s="5" t="s">
        <v>115</v>
      </c>
      <c r="K15" s="4"/>
    </row>
    <row r="16" spans="1:11">
      <c r="A16" s="6" t="s">
        <v>261</v>
      </c>
      <c r="B16" s="5" t="s">
        <v>122</v>
      </c>
      <c r="K16" s="4"/>
    </row>
    <row r="17" spans="1:11">
      <c r="A17" s="6" t="s">
        <v>262</v>
      </c>
      <c r="B17" s="5" t="s">
        <v>125</v>
      </c>
      <c r="K17" s="4"/>
    </row>
    <row r="18" spans="1:11">
      <c r="A18" s="6" t="s">
        <v>263</v>
      </c>
      <c r="B18" s="5" t="s">
        <v>131</v>
      </c>
      <c r="K18" s="4"/>
    </row>
    <row r="19" spans="1:11">
      <c r="A19" s="6" t="s">
        <v>264</v>
      </c>
      <c r="B19" s="5" t="s">
        <v>134</v>
      </c>
      <c r="K19" s="4"/>
    </row>
    <row r="20" spans="1:11">
      <c r="A20" s="6" t="s">
        <v>265</v>
      </c>
      <c r="B20" s="5" t="s">
        <v>137</v>
      </c>
      <c r="K20" s="4"/>
    </row>
    <row r="21" spans="1:11">
      <c r="A21" s="6" t="s">
        <v>266</v>
      </c>
      <c r="B21" s="5" t="s">
        <v>141</v>
      </c>
      <c r="K21" s="4"/>
    </row>
    <row r="22" spans="1:11">
      <c r="A22" s="6" t="s">
        <v>267</v>
      </c>
      <c r="B22" s="5" t="s">
        <v>142</v>
      </c>
      <c r="K22" s="4"/>
    </row>
    <row r="23" spans="1:11">
      <c r="A23" s="6" t="s">
        <v>268</v>
      </c>
      <c r="B23" s="5" t="s">
        <v>143</v>
      </c>
      <c r="K23" s="4"/>
    </row>
    <row r="24" spans="1:11">
      <c r="A24" s="6" t="s">
        <v>269</v>
      </c>
      <c r="B24" s="5" t="s">
        <v>147</v>
      </c>
      <c r="K24" s="4"/>
    </row>
    <row r="25" spans="1:11">
      <c r="A25" s="6" t="s">
        <v>270</v>
      </c>
      <c r="B25" s="5" t="s">
        <v>149</v>
      </c>
      <c r="K25" s="4"/>
    </row>
    <row r="26" spans="1:11">
      <c r="A26" s="6" t="s">
        <v>271</v>
      </c>
      <c r="B26" s="5" t="s">
        <v>153</v>
      </c>
      <c r="K26" s="4"/>
    </row>
    <row r="27" spans="1:11">
      <c r="A27" s="6" t="s">
        <v>272</v>
      </c>
      <c r="B27" s="5" t="s">
        <v>155</v>
      </c>
      <c r="K27" s="4"/>
    </row>
    <row r="28" spans="1:11">
      <c r="A28" s="6" t="s">
        <v>273</v>
      </c>
      <c r="B28" s="5" t="s">
        <v>157</v>
      </c>
      <c r="K28" s="4"/>
    </row>
    <row r="29" spans="1:11">
      <c r="A29" s="6" t="s">
        <v>274</v>
      </c>
      <c r="B29" s="5" t="s">
        <v>159</v>
      </c>
      <c r="K29" s="4"/>
    </row>
    <row r="30" spans="1:11">
      <c r="A30" s="6" t="s">
        <v>275</v>
      </c>
      <c r="B30" s="5" t="s">
        <v>162</v>
      </c>
      <c r="K30" s="4"/>
    </row>
    <row r="31" spans="1:11">
      <c r="A31" s="6" t="s">
        <v>276</v>
      </c>
      <c r="B31" s="5" t="s">
        <v>163</v>
      </c>
      <c r="K31" s="4"/>
    </row>
    <row r="32" spans="1:11">
      <c r="A32" s="6" t="s">
        <v>277</v>
      </c>
      <c r="B32" s="5" t="s">
        <v>166</v>
      </c>
      <c r="K32" s="4"/>
    </row>
    <row r="33" spans="1:11">
      <c r="A33" s="6" t="s">
        <v>278</v>
      </c>
      <c r="B33" s="5" t="s">
        <v>168</v>
      </c>
      <c r="K33" s="4"/>
    </row>
    <row r="34" spans="1:11">
      <c r="A34" s="6" t="s">
        <v>279</v>
      </c>
      <c r="B34" s="5" t="s">
        <v>169</v>
      </c>
      <c r="K34" s="4"/>
    </row>
    <row r="35" spans="1:11">
      <c r="A35" s="6" t="s">
        <v>280</v>
      </c>
      <c r="B35" s="5" t="s">
        <v>170</v>
      </c>
      <c r="K35" s="4"/>
    </row>
    <row r="36" spans="1:11">
      <c r="A36" s="6" t="s">
        <v>281</v>
      </c>
      <c r="B36" s="5" t="s">
        <v>171</v>
      </c>
      <c r="K36" s="4"/>
    </row>
    <row r="37" spans="1:11">
      <c r="A37" s="6" t="s">
        <v>282</v>
      </c>
      <c r="B37" s="5" t="s">
        <v>174</v>
      </c>
      <c r="K37" s="4"/>
    </row>
    <row r="38" spans="1:11">
      <c r="A38" s="6" t="s">
        <v>283</v>
      </c>
      <c r="B38" s="5" t="s">
        <v>177</v>
      </c>
      <c r="K38" s="4"/>
    </row>
    <row r="39" spans="1:11">
      <c r="A39" s="6" t="s">
        <v>284</v>
      </c>
      <c r="B39" s="5" t="s">
        <v>178</v>
      </c>
      <c r="K39" s="4"/>
    </row>
    <row r="40" spans="1:11">
      <c r="A40" s="6" t="s">
        <v>285</v>
      </c>
      <c r="B40" s="5" t="s">
        <v>182</v>
      </c>
      <c r="K40" s="4"/>
    </row>
    <row r="41" spans="1:11">
      <c r="A41" s="6" t="s">
        <v>286</v>
      </c>
      <c r="B41" s="5" t="s">
        <v>183</v>
      </c>
      <c r="K41" s="4"/>
    </row>
    <row r="42" spans="1:11">
      <c r="A42" s="6" t="s">
        <v>287</v>
      </c>
      <c r="B42" s="5" t="s">
        <v>184</v>
      </c>
      <c r="K42" s="4"/>
    </row>
    <row r="43" spans="1:11">
      <c r="A43" s="6" t="s">
        <v>288</v>
      </c>
      <c r="B43" s="5" t="s">
        <v>185</v>
      </c>
      <c r="K43" s="4"/>
    </row>
    <row r="44" spans="1:11">
      <c r="A44" s="6" t="s">
        <v>289</v>
      </c>
      <c r="B44" s="5" t="s">
        <v>190</v>
      </c>
      <c r="K44" s="4"/>
    </row>
    <row r="45" spans="1:11">
      <c r="A45" s="6" t="s">
        <v>290</v>
      </c>
      <c r="B45" s="5" t="s">
        <v>192</v>
      </c>
      <c r="K45" s="4"/>
    </row>
    <row r="46" spans="1:11">
      <c r="A46" s="6" t="s">
        <v>291</v>
      </c>
      <c r="B46" s="5" t="s">
        <v>195</v>
      </c>
      <c r="K46" s="4"/>
    </row>
    <row r="47" spans="1:11">
      <c r="A47" s="6" t="s">
        <v>292</v>
      </c>
      <c r="B47" s="5" t="s">
        <v>196</v>
      </c>
      <c r="K47" s="4"/>
    </row>
    <row r="48" spans="1:11">
      <c r="A48" s="6" t="s">
        <v>293</v>
      </c>
      <c r="B48" s="5" t="s">
        <v>199</v>
      </c>
      <c r="K48" s="4"/>
    </row>
    <row r="49" spans="1:11">
      <c r="A49" s="6" t="s">
        <v>294</v>
      </c>
      <c r="B49" s="5" t="s">
        <v>303</v>
      </c>
      <c r="K49" s="4"/>
    </row>
    <row r="50" spans="1:11">
      <c r="A50" s="6" t="s">
        <v>295</v>
      </c>
      <c r="B50" s="5" t="s">
        <v>203</v>
      </c>
      <c r="K50" s="4"/>
    </row>
    <row r="51" spans="1:11">
      <c r="A51" s="6" t="s">
        <v>296</v>
      </c>
      <c r="B51" s="5" t="s">
        <v>207</v>
      </c>
      <c r="K51" s="4"/>
    </row>
    <row r="52" spans="1:11">
      <c r="A52" s="6" t="s">
        <v>297</v>
      </c>
      <c r="B52" s="5" t="s">
        <v>208</v>
      </c>
      <c r="K52" s="4"/>
    </row>
    <row r="53" spans="1:11">
      <c r="A53" s="6" t="s">
        <v>298</v>
      </c>
      <c r="B53" t="s">
        <v>202</v>
      </c>
      <c r="K53" s="4"/>
    </row>
    <row r="54" spans="1:11">
      <c r="A54" s="6" t="s">
        <v>298</v>
      </c>
      <c r="B54" s="5" t="s">
        <v>304</v>
      </c>
      <c r="K54" s="4"/>
    </row>
    <row r="55" spans="1:11">
      <c r="A55" s="6" t="s">
        <v>299</v>
      </c>
      <c r="B55" s="5" t="s">
        <v>210</v>
      </c>
      <c r="K55" s="4"/>
    </row>
    <row r="56" spans="1:11">
      <c r="A56" s="6" t="s">
        <v>300</v>
      </c>
      <c r="B56" s="5" t="s">
        <v>212</v>
      </c>
      <c r="K56" s="4"/>
    </row>
    <row r="57" spans="1:11">
      <c r="A57" s="6" t="s">
        <v>301</v>
      </c>
      <c r="B57" s="5" t="s">
        <v>213</v>
      </c>
      <c r="K57" s="4"/>
    </row>
    <row r="58" spans="1:11">
      <c r="A58" s="6" t="s">
        <v>302</v>
      </c>
      <c r="B58" s="5" t="s">
        <v>215</v>
      </c>
      <c r="K58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802F1-EEB2-4DC2-B9D2-8CC44F8486E2}">
  <dimension ref="A2:C114"/>
  <sheetViews>
    <sheetView workbookViewId="0">
      <selection activeCell="C51" sqref="C51"/>
    </sheetView>
  </sheetViews>
  <sheetFormatPr defaultRowHeight="14.5"/>
  <cols>
    <col min="1" max="1" width="21.26953125" bestFit="1" customWidth="1"/>
    <col min="2" max="3" width="10.453125" customWidth="1"/>
  </cols>
  <sheetData>
    <row r="2" spans="1:3">
      <c r="A2" s="20" t="s">
        <v>1</v>
      </c>
      <c r="B2" s="2" t="s">
        <v>318</v>
      </c>
      <c r="C2" t="s">
        <v>319</v>
      </c>
    </row>
    <row r="3" spans="1:3">
      <c r="A3" s="20" t="str">
        <f>'State Data 2-13-202'!B2</f>
        <v>Alabama</v>
      </c>
      <c r="B3" s="2">
        <v>-10.5</v>
      </c>
      <c r="C3" t="s">
        <v>216</v>
      </c>
    </row>
    <row r="4" spans="1:3">
      <c r="A4" t="str">
        <f>A3</f>
        <v>Alabama</v>
      </c>
      <c r="B4" s="3">
        <v>-8.5</v>
      </c>
      <c r="C4" t="s">
        <v>22</v>
      </c>
    </row>
    <row r="5" spans="1:3">
      <c r="A5" s="20" t="str">
        <f>'State Data 2-13-202'!B4</f>
        <v>Alaska</v>
      </c>
      <c r="B5" s="2">
        <v>8.25</v>
      </c>
      <c r="C5" t="s">
        <v>216</v>
      </c>
    </row>
    <row r="6" spans="1:3">
      <c r="A6" t="str">
        <f>A5</f>
        <v>Alaska</v>
      </c>
      <c r="B6" s="3">
        <v>4</v>
      </c>
      <c r="C6" t="s">
        <v>22</v>
      </c>
    </row>
    <row r="7" spans="1:3">
      <c r="A7" s="20" t="str">
        <f>'State Data 2-13-202'!B6</f>
        <v>American Samoa</v>
      </c>
      <c r="B7" s="2">
        <v>0</v>
      </c>
      <c r="C7" t="s">
        <v>216</v>
      </c>
    </row>
    <row r="8" spans="1:3">
      <c r="A8" t="str">
        <f>A7</f>
        <v>American Samoa</v>
      </c>
      <c r="B8" s="3">
        <v>-1</v>
      </c>
      <c r="C8" t="s">
        <v>22</v>
      </c>
    </row>
    <row r="9" spans="1:3">
      <c r="A9" s="20" t="str">
        <f>'State Data 2-13-202'!B8</f>
        <v>Arizona</v>
      </c>
      <c r="B9" s="2">
        <v>8.75</v>
      </c>
      <c r="C9" t="s">
        <v>216</v>
      </c>
    </row>
    <row r="10" spans="1:3">
      <c r="A10" t="str">
        <f>A9</f>
        <v>Arizona</v>
      </c>
      <c r="B10" s="3">
        <v>2.25</v>
      </c>
      <c r="C10" t="s">
        <v>22</v>
      </c>
    </row>
    <row r="11" spans="1:3">
      <c r="A11" s="20" t="str">
        <f>'State Data 2-13-202'!B10</f>
        <v>Arkansas</v>
      </c>
      <c r="B11" s="2">
        <v>-14.25</v>
      </c>
      <c r="C11" t="s">
        <v>216</v>
      </c>
    </row>
    <row r="12" spans="1:3">
      <c r="A12" t="str">
        <f>A11</f>
        <v>Arkansas</v>
      </c>
      <c r="B12" s="3">
        <v>-10.25</v>
      </c>
      <c r="C12" t="s">
        <v>22</v>
      </c>
    </row>
    <row r="13" spans="1:3">
      <c r="A13" s="20" t="str">
        <f>'State Data 2-13-202'!B12</f>
        <v>California</v>
      </c>
      <c r="B13" s="2">
        <v>45</v>
      </c>
      <c r="C13" t="s">
        <v>216</v>
      </c>
    </row>
    <row r="14" spans="1:3">
      <c r="A14" t="str">
        <f>A13</f>
        <v>California</v>
      </c>
      <c r="B14" s="3">
        <v>23.25</v>
      </c>
      <c r="C14" t="s">
        <v>22</v>
      </c>
    </row>
    <row r="15" spans="1:3">
      <c r="A15" s="20" t="str">
        <f>'State Data 2-13-202'!B14</f>
        <v>Colorado</v>
      </c>
      <c r="B15" s="2">
        <v>45.25</v>
      </c>
      <c r="C15" t="s">
        <v>216</v>
      </c>
    </row>
    <row r="16" spans="1:3">
      <c r="A16" t="str">
        <f>A15</f>
        <v>Colorado</v>
      </c>
      <c r="B16" s="3">
        <v>23</v>
      </c>
      <c r="C16" t="s">
        <v>22</v>
      </c>
    </row>
    <row r="17" spans="1:3">
      <c r="A17" s="20" t="str">
        <f>'State Data 2-13-202'!B16</f>
        <v>Connecticut</v>
      </c>
      <c r="B17" s="2">
        <v>40.75</v>
      </c>
      <c r="C17" t="s">
        <v>216</v>
      </c>
    </row>
    <row r="18" spans="1:3">
      <c r="A18" t="str">
        <f>A17</f>
        <v>Connecticut</v>
      </c>
      <c r="B18" s="3">
        <v>22</v>
      </c>
      <c r="C18" t="s">
        <v>22</v>
      </c>
    </row>
    <row r="19" spans="1:3">
      <c r="A19" s="20" t="str">
        <f>'State Data 2-13-202'!B18</f>
        <v>Delaware</v>
      </c>
      <c r="B19" s="2">
        <v>31</v>
      </c>
      <c r="C19" t="s">
        <v>216</v>
      </c>
    </row>
    <row r="20" spans="1:3">
      <c r="A20" t="str">
        <f>A19</f>
        <v>Delaware</v>
      </c>
      <c r="B20" s="3">
        <v>17</v>
      </c>
      <c r="C20" t="s">
        <v>22</v>
      </c>
    </row>
    <row r="21" spans="1:3">
      <c r="A21" s="20" t="str">
        <f>'State Data 2-13-202'!B20</f>
        <v>District of Columbia</v>
      </c>
      <c r="B21" s="2">
        <v>40.75</v>
      </c>
      <c r="C21" t="s">
        <v>216</v>
      </c>
    </row>
    <row r="22" spans="1:3">
      <c r="A22" t="str">
        <f>A21</f>
        <v>District of Columbia</v>
      </c>
      <c r="B22" s="3">
        <v>22.25</v>
      </c>
      <c r="C22" t="s">
        <v>22</v>
      </c>
    </row>
    <row r="23" spans="1:3">
      <c r="A23" s="20" t="str">
        <f>'State Data 2-13-202'!B22</f>
        <v>Florida</v>
      </c>
      <c r="B23" s="2">
        <v>-3</v>
      </c>
      <c r="C23" t="s">
        <v>216</v>
      </c>
    </row>
    <row r="24" spans="1:3">
      <c r="A24" t="str">
        <f>A23</f>
        <v>Florida</v>
      </c>
      <c r="B24" s="3">
        <v>-5.75</v>
      </c>
      <c r="C24" t="s">
        <v>22</v>
      </c>
    </row>
    <row r="25" spans="1:3">
      <c r="A25" s="20" t="str">
        <f>'State Data 2-13-202'!B24</f>
        <v>Georgia</v>
      </c>
      <c r="B25" s="2">
        <v>-0.75</v>
      </c>
      <c r="C25" t="s">
        <v>216</v>
      </c>
    </row>
    <row r="26" spans="1:3">
      <c r="A26" t="str">
        <f>A25</f>
        <v>Georgia</v>
      </c>
      <c r="B26" s="3">
        <v>-2.25</v>
      </c>
      <c r="C26" t="s">
        <v>22</v>
      </c>
    </row>
    <row r="27" spans="1:3">
      <c r="A27" s="20" t="str">
        <f>'State Data 2-13-202'!B26</f>
        <v>Guam</v>
      </c>
      <c r="B27" s="2">
        <v>4.75</v>
      </c>
      <c r="C27" t="s">
        <v>216</v>
      </c>
    </row>
    <row r="28" spans="1:3">
      <c r="A28" t="str">
        <f>A27</f>
        <v>Guam</v>
      </c>
      <c r="B28" s="3">
        <v>-0.75</v>
      </c>
      <c r="C28" t="s">
        <v>22</v>
      </c>
    </row>
    <row r="29" spans="1:3">
      <c r="A29" s="20" t="str">
        <f>'State Data 2-13-202'!B28</f>
        <v>Hawaii</v>
      </c>
      <c r="B29" s="2">
        <v>33.25</v>
      </c>
      <c r="C29" t="s">
        <v>216</v>
      </c>
    </row>
    <row r="30" spans="1:3">
      <c r="A30" t="str">
        <f>A29</f>
        <v>Hawaii</v>
      </c>
      <c r="B30" s="3">
        <v>17.25</v>
      </c>
      <c r="C30" t="s">
        <v>22</v>
      </c>
    </row>
    <row r="31" spans="1:3">
      <c r="A31" s="20" t="str">
        <f>'State Data 2-13-202'!B30</f>
        <v>Idaho</v>
      </c>
      <c r="B31" s="2">
        <v>-11.5</v>
      </c>
      <c r="C31" t="s">
        <v>216</v>
      </c>
    </row>
    <row r="32" spans="1:3">
      <c r="A32" t="str">
        <f>A31</f>
        <v>Idaho</v>
      </c>
      <c r="B32" s="3">
        <v>-11.25</v>
      </c>
      <c r="C32" t="s">
        <v>22</v>
      </c>
    </row>
    <row r="33" spans="1:3">
      <c r="A33" s="20" t="str">
        <f>'State Data 2-13-202'!B32</f>
        <v>Illinois</v>
      </c>
      <c r="B33" s="2">
        <v>45</v>
      </c>
      <c r="C33" t="s">
        <v>216</v>
      </c>
    </row>
    <row r="34" spans="1:3">
      <c r="A34" t="str">
        <f>A33</f>
        <v>Illinois</v>
      </c>
      <c r="B34" s="3">
        <v>23.5</v>
      </c>
      <c r="C34" t="s">
        <v>22</v>
      </c>
    </row>
    <row r="35" spans="1:3">
      <c r="A35" s="20" t="str">
        <f>'State Data 2-13-202'!B34</f>
        <v>Indiana</v>
      </c>
      <c r="B35" s="2">
        <v>-2.75</v>
      </c>
      <c r="C35" t="s">
        <v>216</v>
      </c>
    </row>
    <row r="36" spans="1:3">
      <c r="A36" t="str">
        <f>A35</f>
        <v>Indiana</v>
      </c>
      <c r="B36" s="3">
        <v>-5.5</v>
      </c>
      <c r="C36" t="s">
        <v>22</v>
      </c>
    </row>
    <row r="37" spans="1:3">
      <c r="A37" s="20" t="str">
        <f>'State Data 2-13-202'!B36</f>
        <v>Iowa</v>
      </c>
      <c r="B37" s="2">
        <v>4.5</v>
      </c>
      <c r="C37" t="s">
        <v>216</v>
      </c>
    </row>
    <row r="38" spans="1:3">
      <c r="A38" t="str">
        <f>A37</f>
        <v>Iowa</v>
      </c>
      <c r="B38" s="3">
        <v>-5</v>
      </c>
      <c r="C38" t="s">
        <v>22</v>
      </c>
    </row>
    <row r="39" spans="1:3">
      <c r="A39" s="20" t="str">
        <f>'State Data 2-13-202'!B38</f>
        <v>Kansas</v>
      </c>
      <c r="B39" s="2">
        <v>2.5</v>
      </c>
      <c r="C39" t="s">
        <v>216</v>
      </c>
    </row>
    <row r="40" spans="1:3">
      <c r="A40" t="str">
        <f>A39</f>
        <v>Kansas</v>
      </c>
      <c r="B40" s="3">
        <v>-1.75</v>
      </c>
      <c r="C40" t="s">
        <v>22</v>
      </c>
    </row>
    <row r="41" spans="1:3">
      <c r="A41" s="20" t="str">
        <f>'State Data 2-13-202'!B40</f>
        <v>Kentucky</v>
      </c>
      <c r="B41" s="2">
        <v>4.75</v>
      </c>
      <c r="C41" t="s">
        <v>216</v>
      </c>
    </row>
    <row r="42" spans="1:3">
      <c r="A42" t="str">
        <f>A41</f>
        <v>Kentucky</v>
      </c>
      <c r="B42" s="3">
        <v>-0.25</v>
      </c>
      <c r="C42" t="s">
        <v>22</v>
      </c>
    </row>
    <row r="43" spans="1:3">
      <c r="A43" s="20" t="str">
        <f>'State Data 2-13-202'!B42</f>
        <v>Louisiana</v>
      </c>
      <c r="B43" s="2">
        <v>-6.75</v>
      </c>
      <c r="C43" t="s">
        <v>216</v>
      </c>
    </row>
    <row r="44" spans="1:3">
      <c r="A44" t="str">
        <f>A43</f>
        <v>Louisiana</v>
      </c>
      <c r="B44" s="3">
        <v>-7.25</v>
      </c>
      <c r="C44" t="s">
        <v>22</v>
      </c>
    </row>
    <row r="45" spans="1:3">
      <c r="A45" s="20" t="str">
        <f>'State Data 2-13-202'!B44</f>
        <v>Maine</v>
      </c>
      <c r="B45" s="2">
        <v>44.5</v>
      </c>
      <c r="C45" t="s">
        <v>216</v>
      </c>
    </row>
    <row r="46" spans="1:3">
      <c r="A46" t="str">
        <f>A45</f>
        <v>Maine</v>
      </c>
      <c r="B46" s="3">
        <v>23.5</v>
      </c>
      <c r="C46" t="s">
        <v>22</v>
      </c>
    </row>
    <row r="47" spans="1:3">
      <c r="A47" s="20" t="str">
        <f>'State Data 2-13-202'!B46</f>
        <v>Maryland</v>
      </c>
      <c r="B47" s="2">
        <v>43</v>
      </c>
      <c r="C47" t="s">
        <v>216</v>
      </c>
    </row>
    <row r="48" spans="1:3">
      <c r="A48" t="str">
        <f>A47</f>
        <v>Maryland</v>
      </c>
      <c r="B48" s="3">
        <v>23</v>
      </c>
      <c r="C48" t="s">
        <v>22</v>
      </c>
    </row>
    <row r="49" spans="1:3">
      <c r="A49" s="20" t="str">
        <f>'State Data 2-13-202'!B48</f>
        <v>Massachusetts</v>
      </c>
      <c r="B49" s="2">
        <v>40</v>
      </c>
      <c r="C49" t="s">
        <v>216</v>
      </c>
    </row>
    <row r="50" spans="1:3">
      <c r="A50" t="str">
        <f>A49</f>
        <v>Massachusetts</v>
      </c>
      <c r="B50" s="3">
        <v>21.75</v>
      </c>
      <c r="C50" t="s">
        <v>22</v>
      </c>
    </row>
    <row r="51" spans="1:3">
      <c r="A51" s="20" t="str">
        <f>'State Data 2-13-202'!B50</f>
        <v>Michigan</v>
      </c>
      <c r="B51" s="2">
        <v>30</v>
      </c>
      <c r="C51" t="s">
        <v>216</v>
      </c>
    </row>
    <row r="52" spans="1:3">
      <c r="A52" t="str">
        <f>A51</f>
        <v>Michigan</v>
      </c>
      <c r="B52" s="3">
        <v>16.5</v>
      </c>
      <c r="C52" t="s">
        <v>22</v>
      </c>
    </row>
    <row r="53" spans="1:3">
      <c r="A53" s="20" t="str">
        <f>'State Data 2-13-202'!B52</f>
        <v>Minnesota</v>
      </c>
      <c r="B53" s="2">
        <v>36.75</v>
      </c>
      <c r="C53" t="s">
        <v>216</v>
      </c>
    </row>
    <row r="54" spans="1:3">
      <c r="A54" t="str">
        <f>A53</f>
        <v>Minnesota</v>
      </c>
      <c r="B54" s="3">
        <v>20.75</v>
      </c>
      <c r="C54" t="s">
        <v>22</v>
      </c>
    </row>
    <row r="55" spans="1:3">
      <c r="A55" s="20" t="str">
        <f>'State Data 2-13-202'!B54</f>
        <v>Mississippi</v>
      </c>
      <c r="B55" s="2">
        <v>-7.5</v>
      </c>
      <c r="C55" t="s">
        <v>216</v>
      </c>
    </row>
    <row r="56" spans="1:3">
      <c r="A56" t="str">
        <f>A55</f>
        <v>Mississippi</v>
      </c>
      <c r="B56" s="3">
        <v>-6.5</v>
      </c>
      <c r="C56" t="s">
        <v>22</v>
      </c>
    </row>
    <row r="57" spans="1:3">
      <c r="A57" s="20" t="str">
        <f>'State Data 2-13-202'!B56</f>
        <v>Missouri</v>
      </c>
      <c r="B57" s="2">
        <v>-1.5</v>
      </c>
      <c r="C57" t="s">
        <v>216</v>
      </c>
    </row>
    <row r="58" spans="1:3">
      <c r="A58" t="str">
        <f>A57</f>
        <v>Missouri</v>
      </c>
      <c r="B58" s="3">
        <v>-5.5</v>
      </c>
      <c r="C58" t="s">
        <v>22</v>
      </c>
    </row>
    <row r="59" spans="1:3">
      <c r="A59" s="20" t="str">
        <f>'State Data 2-13-202'!B58</f>
        <v>Montana</v>
      </c>
      <c r="B59" s="2">
        <v>-3.75</v>
      </c>
      <c r="C59" t="s">
        <v>216</v>
      </c>
    </row>
    <row r="60" spans="1:3">
      <c r="A60" t="str">
        <f>A59</f>
        <v>Montana</v>
      </c>
      <c r="B60" s="3">
        <v>-6.25</v>
      </c>
      <c r="C60" t="s">
        <v>22</v>
      </c>
    </row>
    <row r="61" spans="1:3">
      <c r="A61" s="20" t="str">
        <f>'State Data 2-13-202'!B60</f>
        <v>Nebraska</v>
      </c>
      <c r="B61" s="2">
        <v>1.25</v>
      </c>
      <c r="C61" t="s">
        <v>216</v>
      </c>
    </row>
    <row r="62" spans="1:3">
      <c r="A62" t="str">
        <f>A61</f>
        <v>Nebraska</v>
      </c>
      <c r="B62" s="3">
        <v>-3</v>
      </c>
      <c r="C62" t="s">
        <v>22</v>
      </c>
    </row>
    <row r="63" spans="1:3">
      <c r="A63" s="20" t="str">
        <f>'State Data 2-13-202'!B62</f>
        <v>Nevada</v>
      </c>
      <c r="B63" s="2">
        <v>42.25</v>
      </c>
      <c r="C63" t="s">
        <v>216</v>
      </c>
    </row>
    <row r="64" spans="1:3">
      <c r="A64" t="str">
        <f>A63</f>
        <v>Nevada</v>
      </c>
      <c r="B64" s="3">
        <v>20.75</v>
      </c>
      <c r="C64" t="s">
        <v>22</v>
      </c>
    </row>
    <row r="65" spans="1:3">
      <c r="A65" s="20" t="str">
        <f>'State Data 2-13-202'!B64</f>
        <v>New Hampshire</v>
      </c>
      <c r="B65" s="2">
        <v>32</v>
      </c>
      <c r="C65" t="s">
        <v>216</v>
      </c>
    </row>
    <row r="66" spans="1:3">
      <c r="A66" t="str">
        <f>A65</f>
        <v>New Hampshire</v>
      </c>
      <c r="B66" s="3">
        <v>15.75</v>
      </c>
      <c r="C66" t="s">
        <v>22</v>
      </c>
    </row>
    <row r="67" spans="1:3">
      <c r="A67" s="20" t="str">
        <f>'State Data 2-13-202'!B66</f>
        <v>New Jersey</v>
      </c>
      <c r="B67" s="2">
        <v>41.75</v>
      </c>
      <c r="C67" t="s">
        <v>216</v>
      </c>
    </row>
    <row r="68" spans="1:3">
      <c r="A68" t="str">
        <f>A67</f>
        <v>New Jersey</v>
      </c>
      <c r="B68" s="3">
        <v>23.25</v>
      </c>
      <c r="C68" t="s">
        <v>22</v>
      </c>
    </row>
    <row r="69" spans="1:3">
      <c r="A69" s="20" t="str">
        <f>'State Data 2-13-202'!B68</f>
        <v>New Mexico</v>
      </c>
      <c r="B69" s="2">
        <v>36</v>
      </c>
      <c r="C69" t="s">
        <v>216</v>
      </c>
    </row>
    <row r="70" spans="1:3">
      <c r="A70" t="str">
        <f>A69</f>
        <v>New Mexico</v>
      </c>
      <c r="B70" s="3">
        <v>20</v>
      </c>
      <c r="C70" t="s">
        <v>22</v>
      </c>
    </row>
    <row r="71" spans="1:3">
      <c r="A71" s="20" t="str">
        <f>'State Data 2-13-202'!B70</f>
        <v>New York</v>
      </c>
      <c r="B71" s="2">
        <v>44.5</v>
      </c>
      <c r="C71" t="s">
        <v>216</v>
      </c>
    </row>
    <row r="72" spans="1:3">
      <c r="A72" t="str">
        <f>A71</f>
        <v>New York</v>
      </c>
      <c r="B72" s="3">
        <v>24</v>
      </c>
      <c r="C72" t="s">
        <v>22</v>
      </c>
    </row>
    <row r="73" spans="1:3">
      <c r="A73" s="20" t="str">
        <f>'State Data 2-13-202'!B72</f>
        <v>North Carolina</v>
      </c>
      <c r="B73" s="2">
        <v>6.25</v>
      </c>
      <c r="C73" t="s">
        <v>216</v>
      </c>
    </row>
    <row r="74" spans="1:3">
      <c r="A74" t="str">
        <f>A73</f>
        <v>North Carolina</v>
      </c>
      <c r="B74" s="3">
        <v>1.5</v>
      </c>
      <c r="C74" t="s">
        <v>22</v>
      </c>
    </row>
    <row r="75" spans="1:3">
      <c r="A75" s="20" t="str">
        <f>'State Data 2-13-202'!B74</f>
        <v>North Dakota</v>
      </c>
      <c r="B75" s="2">
        <v>10.5</v>
      </c>
      <c r="C75" t="s">
        <v>216</v>
      </c>
    </row>
    <row r="76" spans="1:3">
      <c r="A76" t="str">
        <f>A75</f>
        <v>North Dakota</v>
      </c>
      <c r="B76" s="3">
        <v>2</v>
      </c>
      <c r="C76" t="s">
        <v>22</v>
      </c>
    </row>
    <row r="77" spans="1:3">
      <c r="A77" s="20" t="str">
        <f>'State Data 2-13-202'!B76</f>
        <v>Northern Mariana Islands</v>
      </c>
      <c r="B77" s="2">
        <v>2.75</v>
      </c>
      <c r="C77" t="s">
        <v>216</v>
      </c>
    </row>
    <row r="78" spans="1:3">
      <c r="A78" t="str">
        <f>A77</f>
        <v>Northern Mariana Islands</v>
      </c>
      <c r="B78" s="1">
        <v>-1.25</v>
      </c>
      <c r="C78" t="s">
        <v>22</v>
      </c>
    </row>
    <row r="79" spans="1:3">
      <c r="A79" s="20" t="str">
        <f>'State Data 2-13-202'!B78</f>
        <v>Ohio</v>
      </c>
      <c r="B79" s="2">
        <v>1.75</v>
      </c>
      <c r="C79" t="s">
        <v>216</v>
      </c>
    </row>
    <row r="80" spans="1:3">
      <c r="A80" t="str">
        <f>A79</f>
        <v>Ohio</v>
      </c>
      <c r="B80" s="3">
        <v>-3</v>
      </c>
      <c r="C80" t="s">
        <v>22</v>
      </c>
    </row>
    <row r="81" spans="1:3">
      <c r="A81" s="20" t="str">
        <f>'State Data 2-13-202'!B80</f>
        <v>Oklahoma</v>
      </c>
      <c r="B81" s="2">
        <v>-5.5</v>
      </c>
      <c r="C81" t="s">
        <v>216</v>
      </c>
    </row>
    <row r="82" spans="1:3">
      <c r="A82" t="str">
        <f>A81</f>
        <v>Oklahoma</v>
      </c>
      <c r="B82" s="1">
        <v>-7</v>
      </c>
      <c r="C82" t="s">
        <v>22</v>
      </c>
    </row>
    <row r="83" spans="1:3">
      <c r="A83" s="20" t="str">
        <f>'State Data 2-13-202'!B82</f>
        <v>Oregon</v>
      </c>
      <c r="B83" s="2">
        <v>39.5</v>
      </c>
      <c r="C83" t="s">
        <v>216</v>
      </c>
    </row>
    <row r="84" spans="1:3">
      <c r="A84" t="str">
        <f>A83</f>
        <v>Oregon</v>
      </c>
      <c r="B84" s="3">
        <v>21</v>
      </c>
      <c r="C84" t="s">
        <v>22</v>
      </c>
    </row>
    <row r="85" spans="1:3">
      <c r="A85" s="20" t="str">
        <f>'State Data 2-13-202'!B84</f>
        <v>Pennsylvania</v>
      </c>
      <c r="B85" s="2">
        <v>16.75</v>
      </c>
      <c r="C85" t="s">
        <v>216</v>
      </c>
    </row>
    <row r="86" spans="1:3">
      <c r="A86" t="str">
        <f>A85</f>
        <v>Pennsylvania</v>
      </c>
      <c r="B86" s="3">
        <v>10.25</v>
      </c>
      <c r="C86" t="s">
        <v>22</v>
      </c>
    </row>
    <row r="87" spans="1:3">
      <c r="A87" s="20" t="str">
        <f>'State Data 2-13-202'!B86</f>
        <v>Puerto Rico</v>
      </c>
      <c r="B87" s="2">
        <v>19.25</v>
      </c>
      <c r="C87" t="s">
        <v>216</v>
      </c>
    </row>
    <row r="88" spans="1:3">
      <c r="A88" t="str">
        <f>A87</f>
        <v>Puerto Rico</v>
      </c>
      <c r="B88" s="3">
        <v>9.75</v>
      </c>
      <c r="C88" t="s">
        <v>22</v>
      </c>
    </row>
    <row r="89" spans="1:3">
      <c r="A89" s="20" t="str">
        <f>'State Data 2-13-202'!B88</f>
        <v>Rhode Island</v>
      </c>
      <c r="B89" s="2">
        <v>38</v>
      </c>
      <c r="C89" t="s">
        <v>216</v>
      </c>
    </row>
    <row r="90" spans="1:3">
      <c r="A90" t="str">
        <f>A89</f>
        <v>Rhode Island</v>
      </c>
      <c r="B90" s="3">
        <v>20.25</v>
      </c>
      <c r="C90" t="s">
        <v>22</v>
      </c>
    </row>
    <row r="91" spans="1:3">
      <c r="A91" s="20" t="str">
        <f>'State Data 2-13-202'!B90</f>
        <v>South Carolina</v>
      </c>
      <c r="B91" s="2">
        <v>-9.75</v>
      </c>
      <c r="C91" t="s">
        <v>216</v>
      </c>
    </row>
    <row r="92" spans="1:3">
      <c r="A92" t="str">
        <f>A91</f>
        <v>South Carolina</v>
      </c>
      <c r="B92" s="1">
        <v>-9.25</v>
      </c>
      <c r="C92" t="s">
        <v>22</v>
      </c>
    </row>
    <row r="93" spans="1:3">
      <c r="A93" s="20" t="str">
        <f>'State Data 2-13-202'!B92</f>
        <v>South Dakota</v>
      </c>
      <c r="B93" s="2">
        <v>-7.5</v>
      </c>
      <c r="C93" t="s">
        <v>216</v>
      </c>
    </row>
    <row r="94" spans="1:3">
      <c r="A94" t="str">
        <f>A93</f>
        <v>South Dakota</v>
      </c>
      <c r="B94" s="3">
        <v>-7</v>
      </c>
      <c r="C94" t="s">
        <v>22</v>
      </c>
    </row>
    <row r="95" spans="1:3">
      <c r="A95" s="20" t="str">
        <f>'State Data 2-13-202'!B94</f>
        <v>Tennessee</v>
      </c>
      <c r="B95" s="2">
        <v>-14</v>
      </c>
      <c r="C95" t="s">
        <v>216</v>
      </c>
    </row>
    <row r="96" spans="1:3">
      <c r="A96" t="str">
        <f>A95</f>
        <v>Tennessee</v>
      </c>
      <c r="B96" s="3">
        <v>-11.25</v>
      </c>
      <c r="C96" t="s">
        <v>22</v>
      </c>
    </row>
    <row r="97" spans="1:3">
      <c r="A97" s="20" t="str">
        <f>'State Data 2-13-202'!B96</f>
        <v>Texas</v>
      </c>
      <c r="B97" s="2">
        <v>-6.75</v>
      </c>
      <c r="C97" t="s">
        <v>216</v>
      </c>
    </row>
    <row r="98" spans="1:3">
      <c r="A98" t="str">
        <f>A97</f>
        <v>Texas</v>
      </c>
      <c r="B98" s="3">
        <v>-8</v>
      </c>
      <c r="C98" t="s">
        <v>22</v>
      </c>
    </row>
    <row r="99" spans="1:3">
      <c r="A99" s="20" t="str">
        <f>'State Data 2-13-202'!B98</f>
        <v>U.S. Virgin Islands</v>
      </c>
      <c r="B99" s="2">
        <v>15</v>
      </c>
      <c r="C99" t="s">
        <v>216</v>
      </c>
    </row>
    <row r="100" spans="1:3">
      <c r="A100" t="str">
        <f>A99</f>
        <v>U.S. Virgin Islands</v>
      </c>
      <c r="B100" s="3">
        <v>6.25</v>
      </c>
      <c r="C100" t="s">
        <v>22</v>
      </c>
    </row>
    <row r="101" spans="1:3">
      <c r="A101" s="20" t="str">
        <f>'State Data 2-13-202'!B100</f>
        <v>Utah</v>
      </c>
      <c r="B101" s="2">
        <v>10</v>
      </c>
      <c r="C101" t="s">
        <v>216</v>
      </c>
    </row>
    <row r="102" spans="1:3">
      <c r="A102" t="str">
        <f>A101</f>
        <v>Utah</v>
      </c>
      <c r="B102" s="3">
        <v>2.25</v>
      </c>
      <c r="C102" t="s">
        <v>22</v>
      </c>
    </row>
    <row r="103" spans="1:3">
      <c r="A103" s="20" t="str">
        <f>'State Data 2-13-202'!B102</f>
        <v>Vermont</v>
      </c>
      <c r="B103" s="2">
        <v>39.5</v>
      </c>
      <c r="C103" t="s">
        <v>216</v>
      </c>
    </row>
    <row r="104" spans="1:3">
      <c r="A104" t="str">
        <f>A103</f>
        <v>Vermont</v>
      </c>
      <c r="B104" s="3">
        <v>20.5</v>
      </c>
      <c r="C104" t="s">
        <v>22</v>
      </c>
    </row>
    <row r="105" spans="1:3">
      <c r="A105" s="20" t="str">
        <f>'State Data 2-13-202'!B104</f>
        <v>Virginia</v>
      </c>
      <c r="B105" s="2">
        <v>24</v>
      </c>
      <c r="C105" t="s">
        <v>216</v>
      </c>
    </row>
    <row r="106" spans="1:3">
      <c r="A106" t="str">
        <f>A105</f>
        <v>Virginia</v>
      </c>
      <c r="B106" s="3">
        <v>12.25</v>
      </c>
      <c r="C106" t="s">
        <v>22</v>
      </c>
    </row>
    <row r="107" spans="1:3">
      <c r="A107" s="20" t="str">
        <f>'State Data 2-13-202'!B106</f>
        <v>Washington</v>
      </c>
      <c r="B107" s="2">
        <v>40.5</v>
      </c>
      <c r="C107" t="s">
        <v>216</v>
      </c>
    </row>
    <row r="108" spans="1:3">
      <c r="A108" t="str">
        <f>A107</f>
        <v>Washington</v>
      </c>
      <c r="B108" s="3">
        <v>22</v>
      </c>
      <c r="C108" t="s">
        <v>22</v>
      </c>
    </row>
    <row r="109" spans="1:3">
      <c r="A109" s="20" t="str">
        <f>'State Data 2-13-202'!B108</f>
        <v>West Virginia</v>
      </c>
      <c r="B109" s="2">
        <v>-0.75</v>
      </c>
      <c r="C109" t="s">
        <v>216</v>
      </c>
    </row>
    <row r="110" spans="1:3">
      <c r="A110" t="str">
        <f>A109</f>
        <v>West Virginia</v>
      </c>
      <c r="B110" s="3">
        <v>-3.75</v>
      </c>
      <c r="C110" t="s">
        <v>22</v>
      </c>
    </row>
    <row r="111" spans="1:3">
      <c r="A111" s="20" t="str">
        <f>'State Data 2-13-202'!B110</f>
        <v>Wisconsin</v>
      </c>
      <c r="B111" s="2">
        <v>18.25</v>
      </c>
      <c r="C111" t="s">
        <v>216</v>
      </c>
    </row>
    <row r="112" spans="1:3">
      <c r="A112" t="str">
        <f>A111</f>
        <v>Wisconsin</v>
      </c>
      <c r="B112" s="3">
        <v>5.75</v>
      </c>
      <c r="C112" t="s">
        <v>22</v>
      </c>
    </row>
    <row r="113" spans="1:3">
      <c r="A113" s="20" t="str">
        <f>'State Data 2-13-202'!B112</f>
        <v>Wyoming</v>
      </c>
      <c r="B113" s="2">
        <v>-6</v>
      </c>
      <c r="C113" t="s">
        <v>216</v>
      </c>
    </row>
    <row r="114" spans="1:3">
      <c r="A114" t="str">
        <f>A113</f>
        <v>Wyoming</v>
      </c>
      <c r="B114" s="3">
        <v>-7.5</v>
      </c>
      <c r="C114" t="s">
        <v>22</v>
      </c>
    </row>
  </sheetData>
  <sortState xmlns:xlrd2="http://schemas.microsoft.com/office/spreadsheetml/2017/richdata2" ref="A4:C114">
    <sortCondition ref="A4:A114"/>
  </sortState>
  <dataConsolidate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B70F5-926B-40D2-B396-6CE32564F693}">
  <dimension ref="A1:P68"/>
  <sheetViews>
    <sheetView workbookViewId="0">
      <selection activeCell="I1" sqref="I1:P2"/>
    </sheetView>
  </sheetViews>
  <sheetFormatPr defaultRowHeight="14.5"/>
  <cols>
    <col min="8" max="8" width="56.6328125" customWidth="1"/>
    <col min="9" max="9" width="8.7265625" customWidth="1"/>
    <col min="19" max="19" width="8.7265625" customWidth="1"/>
  </cols>
  <sheetData>
    <row r="1" spans="1:16" ht="14.5" customHeight="1">
      <c r="A1" t="str">
        <f>'Formatted Overall mix GI'!$A$4</f>
        <v>Alabama</v>
      </c>
      <c r="B1">
        <f>'Formatted Overall mix GI'!$B$4</f>
        <v>-8.5</v>
      </c>
      <c r="C1" t="str">
        <f>_xlfn.XLOOKUP(A1,'Area Abbreviations'!B:B,'Area Abbreviations'!A:A)</f>
        <v>AL</v>
      </c>
      <c r="D1" t="str">
        <f>_xlfn.XLOOKUP(B1,'Score System'!$B$15:$B$19,'Score System'!$A$15:$A$19,,-1)</f>
        <v>negative</v>
      </c>
      <c r="H1" s="18" t="s">
        <v>312</v>
      </c>
      <c r="I1" s="22" t="s">
        <v>321</v>
      </c>
      <c r="J1" s="22"/>
      <c r="K1" s="22"/>
      <c r="L1" s="22"/>
      <c r="M1" s="22"/>
      <c r="N1" s="22"/>
      <c r="O1" s="22"/>
      <c r="P1" t="s">
        <v>315</v>
      </c>
    </row>
    <row r="2" spans="1:16" ht="14.5" customHeight="1">
      <c r="A2" t="str">
        <f>'Formatted Overall mix GI'!$A$6</f>
        <v>Alaska</v>
      </c>
      <c r="B2">
        <f>'Formatted Overall mix GI'!$B$6</f>
        <v>4</v>
      </c>
      <c r="C2" t="str">
        <f>_xlfn.XLOOKUP(A2,'Area Abbreviations'!B:B,'Area Abbreviations'!A:A)</f>
        <v>AK</v>
      </c>
      <c r="D2" t="str">
        <f>_xlfn.XLOOKUP(B2,'Score System'!$B$15:$B$19,'Score System'!$A$15:$A$19,,-1)</f>
        <v>low</v>
      </c>
      <c r="H2" s="17" t="str" cm="1">
        <f t="array" ref="H2">_xlfn.TEXTJOIN(CHAR(10), TRUE,
    "GenderIdentityTally: {",
    _xlfn.TEXTJOIN(CHAR(10), TRUE,
        _xlfn.MAP(C1:C59, B1:B59, D1:D59,
            _xlfn.LAMBDA(_xlpm.abbr,_xlpm.score,_xlpm.grade,
                IF(_xlpm.abbr &lt;&gt; "",
                    CHAR(9) &amp; """" &amp; _xlpm.abbr &amp; """: {" &amp; CHAR(10) &amp;
                    CHAR(9) &amp; CHAR(9) &amp; """colorGrade"": """ &amp; _xlpm.grade &amp; """," &amp; CHAR(10) &amp;
                    CHAR(9) &amp; CHAR(9) &amp; """score"": " &amp; _xlpm.score &amp; CHAR(10) &amp;
                    CHAR(9) &amp; "},", "")
            )
        )
    ),
    _xlfn.TEXTJOIN(CHAR(10), TRUE,
        _xlfn.MAP(A1:A59, B1:B59, C1:C59, D1:D59,
            _xlfn.LAMBDA(_xlpm.state,_xlpm.score,_xlpm.abbr,_xlpm.grade,
                IF(_xlpm.state &lt;&gt; "",
                    CHAR(9) &amp; """" &amp; _xlpm.state &amp; """: {" &amp; CHAR(10) &amp;
                    CHAR(9) &amp; CHAR(9) &amp; """colorGrade"": """ &amp; _xlpm.grade &amp; """," &amp; CHAR(10) &amp;
                    CHAR(9) &amp; CHAR(9) &amp; """score"": " &amp; _xlpm.score &amp; CHAR(10) &amp;
                    CHAR(9) &amp; "},", "")
            )
        )
    ),
    "}"
)</f>
        <v>GenderIdentityTally: {
	"AL": {
		"colorGrade": "negative",
		"score": -8.5
	},
	"AK": {
		"colorGrade": "low",
		"score": 4
	},
	"AS": {
		"colorGrade": "negative",
		"score": -1
	},
	"AZ": {
		"colorGrade": "low",
		"score": 2.25
	},
	"AR": {
		"colorGrade": "negative",
		"score": -10.25
	},
	"CA": {
		"colorGrade": "high",
		"score": 23.25
	},
	"CO": {
		"colorGrade": "high",
		"score": 23
	},
	"CT": {
		"colorGrade": "high",
		"score": 22
	},
	"DE": {
		"colorGrade": "medium",
		"score": 17
	},
	"DC": {
		"colorGrade": "high",
		"score": 22.25
	},
	"D.C.": {
		"colorGrade": "high",
		"score": 22.25
	},
	"FL": {
		"colorGrade": "negative",
		"score": -5.75
	},
	"GA": {
		"colorGrade": "negative",
		"score": -2.25
	},
	"GU": {
		"colorGrade": "negative",
		"score": -0.75
	},
	"HI": {
		"colorGrade": "medium",
		"score": 17.25
	},
	"ID": {
		"colorGrade": "negative",
		"score": -11.25
	},
	"IL": {
		"colorGrade": "high",
		"score": 23.5
	},
	"IN": {
		"colorGrade": "negative",
		"score": -5.5
	},
	"IA": {
		"colorGrade": "negative",
		"score": -5
	},
	"KS": {
		"colorGrade": "negative",
		"score": -1.75
	},
	"KY": {
		"colorGrade": "negative",
		"score": -0.25
	},
	"LA": {
		"colorGrade": "negative",
		"score": -7.25
	},
	"ME": {
		"colorGrade": "high",
		"score": 23.5
	},
	"MD": {
		"colorGrade": "high",
		"score": 23
	},
	"MA": {
		"colorGrade": "high",
		"score": 21.75
	},
	"MI": {
		"colorGrade": "medium",
		"score": 16.5
	},
	"MN": {
		"colorGrade": "high",
		"score": 20.75
	},
	"MS": {
		"colorGrade": "negative",
		"score": -6.5
	},
	"MO": {
		"colorGrade": "negative",
		"score": -5.5
	},
	"MT": {
		"colorGrade": "negative",
		"score": -6.25
	},
	"NE": {
		"colorGrade": "negative",
		"score": -3
	},
	"NV": {
		"colorGrade": "high",
		"score": 20.75
	},
	"NH": {
		"colorGrade": "medium",
		"score": 15.75
	},
	"NJ": {
		"colorGrade": "high",
		"score": 23.25
	},
	"NM": {
		"colorGrade": "high",
		"score": 20
	},
	"NY": {
		"colorGrade": "high",
		"score": 24
	},
	"NC": {
		"colorGrade": "low",
		"score": 1.5
	},
	"ND": {
		"colorGrade": "low",
		"score": 2
	},
	"MP": {
		"colorGrade": "negative",
		"score": -1.25
	},
	"OH": {
		"colorGrade": "negative",
		"score": -3
	},
	"OK": {
		"colorGrade": "negative",
		"score": -7
	},
	"OR": {
		"colorGrade": "high",
		"score": 21
	},
	"PA": {
		"colorGrade": "fair",
		"score": 10.25
	},
	"PR": {
		"colorGrade": "fair",
		"score": 9.75
	},
	"RI": {
		"colorGrade": "high",
		"score": 20.25
	},
	"SC": {
		"colorGrade": "negative",
		"score": -9.25
	},
	"SD": {
		"colorGrade": "negative",
		"score": -7
	},
	"TN": {
		"colorGrade": "negative",
		"score": -11.25
	},
	"TX": {
		"colorGrade": "negative",
		"score": -8
	},
	"VI": {
		"colorGrade": "fair",
		"score": 6.25
	},
	"UT": {
		"colorGrade": "low",
		"score": 2.25
	},
	"VT": {
		"colorGrade": "high",
		"score": 20.5
	},
	"VA": {
		"colorGrade": "medium",
		"score": 12.25
	},
	"WA": {
		"colorGrade": "high",
		"score": 22
	},
	"WV": {
		"colorGrade": "negative",
		"score": -3.75
	},
	"WI": {
		"colorGrade": "low",
		"score": 5.75
	},
	"WY": {
		"colorGrade": "negative",
		"score": -7.5
	},
	"Alabama": {
		"colorGrade": "negative",
		"score": -8.5
	},
	"Alaska": {
		"colorGrade": "low",
		"score": 4
	},
	"American Samoa": {
		"colorGrade": "negative",
		"score": -1
	},
	"Arizona": {
		"colorGrade": "low",
		"score": 2.25
	},
	"Arkansas": {
		"colorGrade": "negative",
		"score": -10.25
	},
	"California": {
		"colorGrade": "high",
		"score": 23.25
	},
	"Colorado": {
		"colorGrade": "high",
		"score": 23
	},
	"Connecticut": {
		"colorGrade": "high",
		"score": 22
	},
	"Delaware": {
		"colorGrade": "medium",
		"score": 17
	},
	"District of Columbia": {
		"colorGrade": "high",
		"score": 22.25
	},
	"Florida": {
		"colorGrade": "negative",
		"score": -5.75
	},
	"Georgia": {
		"colorGrade": "negative",
		"score": -2.25
	},
	"Guam": {
		"colorGrade": "negative",
		"score": -0.75
	},
	"Hawaii": {
		"colorGrade": "medium",
		"score": 17.25
	},
	"Idaho": {
		"colorGrade": "negative",
		"score": -11.25
	},
	"Illinois": {
		"colorGrade": "high",
		"score": 23.5
	},
	"Indiana": {
		"colorGrade": "negative",
		"score": -5.5
	},
	"Iowa": {
		"colorGrade": "negative",
		"score": -5
	},
	"Kansas": {
		"colorGrade": "negative",
		"score": -1.75
	},
	"Kentucky": {
		"colorGrade": "negative",
		"score": -0.25
	},
	"Louisiana": {
		"colorGrade": "negative",
		"score": -7.25
	},
	"Maine": {
		"colorGrade": "high",
		"score": 23.5
	},
	"Maryland": {
		"colorGrade": "high",
		"score": 23
	},
	"Massachusetts": {
		"colorGrade": "high",
		"score": 21.75
	},
	"Michigan": {
		"colorGrade": "medium",
		"score": 16.5
	},
	"Minnesota": {
		"colorGrade": "high",
		"score": 20.75
	},
	"Mississippi": {
		"colorGrade": "negative",
		"score": -6.5
	},
	"Missouri": {
		"colorGrade": "negative",
		"score": -5.5
	},
	"Montana": {
		"colorGrade": "negative",
		"score": -6.25
	},
	"Nebraska": {
		"colorGrade": "negative",
		"score": -3
	},
	"Nevada": {
		"colorGrade": "high",
		"score": 20.75
	},
	"New Hampshire": {
		"colorGrade": "medium",
		"score": 15.75
	},
	"New Jersey": {
		"colorGrade": "high",
		"score": 23.25
	},
	"New Mexico": {
		"colorGrade": "high",
		"score": 20
	},
	"New York": {
		"colorGrade": "high",
		"score": 24
	},
	"North Carolina": {
		"colorGrade": "low",
		"score": 1.5
	},
	"North Dakota": {
		"colorGrade": "low",
		"score": 2
	},
	"Northern Mariana Islands": {
		"colorGrade": "negative",
		"score": -1.25
	},
	"Ohio": {
		"colorGrade": "negative",
		"score": -3
	},
	"Oklahoma": {
		"colorGrade": "negative",
		"score": -7
	},
	"Oregon": {
		"colorGrade": "high",
		"score": 21
	},
	"Pennsylvania": {
		"colorGrade": "fair",
		"score": 10.25
	},
	"Puerto Rico": {
		"colorGrade": "fair",
		"score": 9.75
	},
	"Rhode Island": {
		"colorGrade": "high",
		"score": 20.25
	},
	"South Carolina": {
		"colorGrade": "negative",
		"score": -9.25
	},
	"South Dakota": {
		"colorGrade": "negative",
		"score": -7
	},
	"Tennessee": {
		"colorGrade": "negative",
		"score": -11.25
	},
	"Texas": {
		"colorGrade": "negative",
		"score": -8
	},
	"U.S. Virgin Islands": {
		"colorGrade": "fair",
		"score": 6.25
	},
	"US Virgin Islands": {
		"colorGrade": "fair",
		"score": 6.25
	},
	"Virgin Islands": {
		"colorGrade": "fair",
		"score": 6.25
	},
	"Utah": {
		"colorGrade": "low",
		"score": 2.25
	},
	"Vermont": {
		"colorGrade": "high",
		"score": 20.5
	},
	"Virginia": {
		"colorGrade": "medium",
		"score": 12.25
	},
	"Washington": {
		"colorGrade": "high",
		"score": 22
	},
	"West Virginia": {
		"colorGrade": "negative",
		"score": -3.75
	},
	"Wisconsin": {
		"colorGrade": "low",
		"score": 5.75
	},
	"Wyoming": {
		"colorGrade": "negative",
		"score": -7.5
	},
}</v>
      </c>
      <c r="I2" s="22"/>
      <c r="J2" s="22"/>
      <c r="K2" s="22"/>
      <c r="L2" s="22"/>
      <c r="M2" s="22"/>
      <c r="N2" s="22"/>
      <c r="O2" s="22"/>
    </row>
    <row r="3" spans="1:16">
      <c r="A3" t="str">
        <f>'Formatted Overall mix GI'!$A$8</f>
        <v>American Samoa</v>
      </c>
      <c r="B3">
        <f>'Formatted Overall mix GI'!$B$8</f>
        <v>-1</v>
      </c>
      <c r="C3" t="str">
        <f>_xlfn.XLOOKUP(A3,'Area Abbreviations'!B:B,'Area Abbreviations'!A:A)</f>
        <v>AS</v>
      </c>
      <c r="D3" t="str">
        <f>_xlfn.XLOOKUP(B3,'Score System'!$B$15:$B$19,'Score System'!$A$15:$A$19,,-1)</f>
        <v>negative</v>
      </c>
    </row>
    <row r="4" spans="1:16">
      <c r="A4" t="str">
        <f>'Formatted Overall mix GI'!$A$10</f>
        <v>Arizona</v>
      </c>
      <c r="B4">
        <f>'Formatted Overall mix GI'!$B$10</f>
        <v>2.25</v>
      </c>
      <c r="C4" t="str">
        <f>_xlfn.XLOOKUP(A4,'Area Abbreviations'!B:B,'Area Abbreviations'!A:A)</f>
        <v>AZ</v>
      </c>
      <c r="D4" t="str">
        <f>_xlfn.XLOOKUP(B4,'Score System'!$B$15:$B$19,'Score System'!$A$15:$A$19,,-1)</f>
        <v>low</v>
      </c>
    </row>
    <row r="5" spans="1:16">
      <c r="A5" t="str">
        <f>'Formatted Overall mix GI'!$A$12</f>
        <v>Arkansas</v>
      </c>
      <c r="B5">
        <f>'Formatted Overall mix GI'!$B$12</f>
        <v>-10.25</v>
      </c>
      <c r="C5" t="str">
        <f>_xlfn.XLOOKUP(A5,'Area Abbreviations'!B:B,'Area Abbreviations'!A:A)</f>
        <v>AR</v>
      </c>
      <c r="D5" t="str">
        <f>_xlfn.XLOOKUP(B5,'Score System'!$B$15:$B$19,'Score System'!$A$15:$A$19,,-1)</f>
        <v>negative</v>
      </c>
    </row>
    <row r="6" spans="1:16">
      <c r="A6" t="str">
        <f>'Formatted Overall mix GI'!$A$14</f>
        <v>California</v>
      </c>
      <c r="B6">
        <f>'Formatted Overall mix GI'!$B$14</f>
        <v>23.25</v>
      </c>
      <c r="C6" t="str">
        <f>_xlfn.XLOOKUP(A6,'Area Abbreviations'!B:B,'Area Abbreviations'!A:A)</f>
        <v>CA</v>
      </c>
      <c r="D6" t="str">
        <f>_xlfn.XLOOKUP(B6,'Score System'!$B$15:$B$19,'Score System'!$A$15:$A$19,,-1)</f>
        <v>high</v>
      </c>
    </row>
    <row r="7" spans="1:16">
      <c r="A7" t="str">
        <f>'Formatted Overall mix GI'!$A$16</f>
        <v>Colorado</v>
      </c>
      <c r="B7">
        <f>'Formatted Overall mix GI'!$B$16</f>
        <v>23</v>
      </c>
      <c r="C7" t="str">
        <f>_xlfn.XLOOKUP(A7,'Area Abbreviations'!B:B,'Area Abbreviations'!A:A)</f>
        <v>CO</v>
      </c>
      <c r="D7" t="str">
        <f>_xlfn.XLOOKUP(B7,'Score System'!$B$15:$B$19,'Score System'!$A$15:$A$19,,-1)</f>
        <v>high</v>
      </c>
    </row>
    <row r="8" spans="1:16">
      <c r="A8" t="str">
        <f>'Formatted Overall mix GI'!$A$18</f>
        <v>Connecticut</v>
      </c>
      <c r="B8">
        <f>'Formatted Overall mix GI'!$B$18</f>
        <v>22</v>
      </c>
      <c r="C8" t="str">
        <f>_xlfn.XLOOKUP(A8,'Area Abbreviations'!B:B,'Area Abbreviations'!A:A)</f>
        <v>CT</v>
      </c>
      <c r="D8" t="str">
        <f>_xlfn.XLOOKUP(B8,'Score System'!$B$15:$B$19,'Score System'!$A$15:$A$19,,-1)</f>
        <v>high</v>
      </c>
    </row>
    <row r="9" spans="1:16">
      <c r="A9" t="str">
        <f>'Formatted Overall mix GI'!$A$20</f>
        <v>Delaware</v>
      </c>
      <c r="B9">
        <f>'Formatted Overall mix GI'!$B$20</f>
        <v>17</v>
      </c>
      <c r="C9" t="str">
        <f>_xlfn.XLOOKUP(A9,'Area Abbreviations'!B:B,'Area Abbreviations'!A:A)</f>
        <v>DE</v>
      </c>
      <c r="D9" t="str">
        <f>_xlfn.XLOOKUP(B9,'Score System'!$B$15:$B$19,'Score System'!$A$15:$A$19,,-1)</f>
        <v>medium</v>
      </c>
    </row>
    <row r="10" spans="1:16">
      <c r="A10" t="str">
        <f>'Formatted Overall mix GI'!$A$22</f>
        <v>District of Columbia</v>
      </c>
      <c r="B10">
        <f>'Formatted Overall mix GI'!$B$22</f>
        <v>22.25</v>
      </c>
      <c r="C10" t="str">
        <f>_xlfn.XLOOKUP(A10,'Area Abbreviations'!B:B,'Area Abbreviations'!A:A)</f>
        <v>DC</v>
      </c>
      <c r="D10" t="str">
        <f>_xlfn.XLOOKUP(B10,'Score System'!$B$15:$B$19,'Score System'!$A$15:$A$19,,-1)</f>
        <v>high</v>
      </c>
    </row>
    <row r="11" spans="1:16">
      <c r="B11">
        <f>B10</f>
        <v>22.25</v>
      </c>
      <c r="C11" t="s">
        <v>316</v>
      </c>
      <c r="D11" t="str">
        <f>D10</f>
        <v>high</v>
      </c>
    </row>
    <row r="12" spans="1:16">
      <c r="A12" t="str">
        <f>'Formatted Overall mix GI'!$A$24</f>
        <v>Florida</v>
      </c>
      <c r="B12">
        <f>'Formatted Overall mix GI'!$B$24</f>
        <v>-5.75</v>
      </c>
      <c r="C12" t="str">
        <f>_xlfn.XLOOKUP(A12,'Area Abbreviations'!B:B,'Area Abbreviations'!A:A)</f>
        <v>FL</v>
      </c>
      <c r="D12" t="str">
        <f>_xlfn.XLOOKUP(B12,'Score System'!$B$15:$B$19,'Score System'!$A$15:$A$19,,-1)</f>
        <v>negative</v>
      </c>
    </row>
    <row r="13" spans="1:16">
      <c r="A13" t="str">
        <f>'Formatted Overall mix GI'!$A$26</f>
        <v>Georgia</v>
      </c>
      <c r="B13">
        <f>'Formatted Overall mix GI'!$B$26</f>
        <v>-2.25</v>
      </c>
      <c r="C13" t="str">
        <f>_xlfn.XLOOKUP(A13,'Area Abbreviations'!B:B,'Area Abbreviations'!A:A)</f>
        <v>GA</v>
      </c>
      <c r="D13" t="str">
        <f>_xlfn.XLOOKUP(B13,'Score System'!$B$15:$B$19,'Score System'!$A$15:$A$19,,-1)</f>
        <v>negative</v>
      </c>
    </row>
    <row r="14" spans="1:16">
      <c r="A14" t="str">
        <f>'Formatted Overall mix GI'!$A$28</f>
        <v>Guam</v>
      </c>
      <c r="B14">
        <f>'Formatted Overall mix GI'!$B$28</f>
        <v>-0.75</v>
      </c>
      <c r="C14" t="str">
        <f>_xlfn.XLOOKUP(A14,'Area Abbreviations'!B:B,'Area Abbreviations'!A:A)</f>
        <v>GU</v>
      </c>
      <c r="D14" t="str">
        <f>_xlfn.XLOOKUP(B14,'Score System'!$B$15:$B$19,'Score System'!$A$15:$A$19,,-1)</f>
        <v>negative</v>
      </c>
    </row>
    <row r="15" spans="1:16">
      <c r="A15" t="str">
        <f>'Formatted Overall mix GI'!$A$30</f>
        <v>Hawaii</v>
      </c>
      <c r="B15">
        <f>'Formatted Overall mix GI'!$B$30</f>
        <v>17.25</v>
      </c>
      <c r="C15" t="str">
        <f>_xlfn.XLOOKUP(A15,'Area Abbreviations'!B:B,'Area Abbreviations'!A:A)</f>
        <v>HI</v>
      </c>
      <c r="D15" t="str">
        <f>_xlfn.XLOOKUP(B15,'Score System'!$B$15:$B$19,'Score System'!$A$15:$A$19,,-1)</f>
        <v>medium</v>
      </c>
    </row>
    <row r="16" spans="1:16">
      <c r="A16" t="str">
        <f>'Formatted Overall mix GI'!$A$32</f>
        <v>Idaho</v>
      </c>
      <c r="B16">
        <f>'Formatted Overall mix GI'!$B$32</f>
        <v>-11.25</v>
      </c>
      <c r="C16" t="str">
        <f>_xlfn.XLOOKUP(A16,'Area Abbreviations'!B:B,'Area Abbreviations'!A:A)</f>
        <v>ID</v>
      </c>
      <c r="D16" t="str">
        <f>_xlfn.XLOOKUP(B16,'Score System'!$B$15:$B$19,'Score System'!$A$15:$A$19,,-1)</f>
        <v>negative</v>
      </c>
    </row>
    <row r="17" spans="1:4">
      <c r="A17" t="str">
        <f>'Formatted Overall mix GI'!$A$34</f>
        <v>Illinois</v>
      </c>
      <c r="B17">
        <f>'Formatted Overall mix GI'!$B$34</f>
        <v>23.5</v>
      </c>
      <c r="C17" t="str">
        <f>_xlfn.XLOOKUP(A17,'Area Abbreviations'!B:B,'Area Abbreviations'!A:A)</f>
        <v>IL</v>
      </c>
      <c r="D17" t="str">
        <f>_xlfn.XLOOKUP(B17,'Score System'!$B$15:$B$19,'Score System'!$A$15:$A$19,,-1)</f>
        <v>high</v>
      </c>
    </row>
    <row r="18" spans="1:4">
      <c r="A18" t="str">
        <f>'Formatted Overall mix GI'!$A$36</f>
        <v>Indiana</v>
      </c>
      <c r="B18">
        <f>'Formatted Overall mix GI'!$B$36</f>
        <v>-5.5</v>
      </c>
      <c r="C18" t="str">
        <f>_xlfn.XLOOKUP(A18,'Area Abbreviations'!B:B,'Area Abbreviations'!A:A)</f>
        <v>IN</v>
      </c>
      <c r="D18" t="str">
        <f>_xlfn.XLOOKUP(B18,'Score System'!$B$15:$B$19,'Score System'!$A$15:$A$19,,-1)</f>
        <v>negative</v>
      </c>
    </row>
    <row r="19" spans="1:4">
      <c r="A19" t="str">
        <f>'Formatted Overall mix GI'!$A$38</f>
        <v>Iowa</v>
      </c>
      <c r="B19">
        <f>'Formatted Overall mix GI'!$B$38</f>
        <v>-5</v>
      </c>
      <c r="C19" t="str">
        <f>_xlfn.XLOOKUP(A19,'Area Abbreviations'!B:B,'Area Abbreviations'!A:A)</f>
        <v>IA</v>
      </c>
      <c r="D19" t="str">
        <f>_xlfn.XLOOKUP(B19,'Score System'!$B$15:$B$19,'Score System'!$A$15:$A$19,,-1)</f>
        <v>negative</v>
      </c>
    </row>
    <row r="20" spans="1:4">
      <c r="A20" t="str">
        <f>'Formatted Overall mix GI'!$A$40</f>
        <v>Kansas</v>
      </c>
      <c r="B20">
        <f>'Formatted Overall mix GI'!$B$40</f>
        <v>-1.75</v>
      </c>
      <c r="C20" t="str">
        <f>_xlfn.XLOOKUP(A20,'Area Abbreviations'!B:B,'Area Abbreviations'!A:A)</f>
        <v>KS</v>
      </c>
      <c r="D20" t="str">
        <f>_xlfn.XLOOKUP(B20,'Score System'!$B$15:$B$19,'Score System'!$A$15:$A$19,,-1)</f>
        <v>negative</v>
      </c>
    </row>
    <row r="21" spans="1:4">
      <c r="A21" t="str">
        <f>'Formatted Overall mix GI'!$A$42</f>
        <v>Kentucky</v>
      </c>
      <c r="B21">
        <f>'Formatted Overall mix GI'!$B$42</f>
        <v>-0.25</v>
      </c>
      <c r="C21" t="str">
        <f>_xlfn.XLOOKUP(A21,'Area Abbreviations'!B:B,'Area Abbreviations'!A:A)</f>
        <v>KY</v>
      </c>
      <c r="D21" t="str">
        <f>_xlfn.XLOOKUP(B21,'Score System'!$B$15:$B$19,'Score System'!$A$15:$A$19,,-1)</f>
        <v>negative</v>
      </c>
    </row>
    <row r="22" spans="1:4">
      <c r="A22" t="str">
        <f>'Formatted Overall mix GI'!$A$44</f>
        <v>Louisiana</v>
      </c>
      <c r="B22">
        <f>'Formatted Overall mix GI'!$B$44</f>
        <v>-7.25</v>
      </c>
      <c r="C22" t="str">
        <f>_xlfn.XLOOKUP(A22,'Area Abbreviations'!B:B,'Area Abbreviations'!A:A)</f>
        <v>LA</v>
      </c>
      <c r="D22" t="str">
        <f>_xlfn.XLOOKUP(B22,'Score System'!$B$15:$B$19,'Score System'!$A$15:$A$19,,-1)</f>
        <v>negative</v>
      </c>
    </row>
    <row r="23" spans="1:4">
      <c r="A23" t="str">
        <f>'Formatted Overall mix GI'!$A$46</f>
        <v>Maine</v>
      </c>
      <c r="B23">
        <f>'Formatted Overall mix GI'!$B$46</f>
        <v>23.5</v>
      </c>
      <c r="C23" t="str">
        <f>_xlfn.XLOOKUP(A23,'Area Abbreviations'!B:B,'Area Abbreviations'!A:A)</f>
        <v>ME</v>
      </c>
      <c r="D23" t="str">
        <f>_xlfn.XLOOKUP(B23,'Score System'!$B$15:$B$19,'Score System'!$A$15:$A$19,,-1)</f>
        <v>high</v>
      </c>
    </row>
    <row r="24" spans="1:4">
      <c r="A24" t="str">
        <f>'Formatted Overall mix GI'!$A$48</f>
        <v>Maryland</v>
      </c>
      <c r="B24">
        <f>'Formatted Overall mix GI'!$B$48</f>
        <v>23</v>
      </c>
      <c r="C24" t="str">
        <f>_xlfn.XLOOKUP(A24,'Area Abbreviations'!B:B,'Area Abbreviations'!A:A)</f>
        <v>MD</v>
      </c>
      <c r="D24" t="str">
        <f>_xlfn.XLOOKUP(B24,'Score System'!$B$15:$B$19,'Score System'!$A$15:$A$19,,-1)</f>
        <v>high</v>
      </c>
    </row>
    <row r="25" spans="1:4">
      <c r="A25" t="str">
        <f>'Formatted Overall mix GI'!$A$50</f>
        <v>Massachusetts</v>
      </c>
      <c r="B25">
        <f>'Formatted Overall mix GI'!$B$50</f>
        <v>21.75</v>
      </c>
      <c r="C25" t="str">
        <f>_xlfn.XLOOKUP(A25,'Area Abbreviations'!B:B,'Area Abbreviations'!A:A)</f>
        <v>MA</v>
      </c>
      <c r="D25" t="str">
        <f>_xlfn.XLOOKUP(B25,'Score System'!$B$15:$B$19,'Score System'!$A$15:$A$19,,-1)</f>
        <v>high</v>
      </c>
    </row>
    <row r="26" spans="1:4">
      <c r="A26" t="str">
        <f>'Formatted Overall mix GI'!$A$52</f>
        <v>Michigan</v>
      </c>
      <c r="B26">
        <f>'Formatted Overall mix GI'!$B$52</f>
        <v>16.5</v>
      </c>
      <c r="C26" t="str">
        <f>_xlfn.XLOOKUP(A26,'Area Abbreviations'!B:B,'Area Abbreviations'!A:A)</f>
        <v>MI</v>
      </c>
      <c r="D26" t="str">
        <f>_xlfn.XLOOKUP(B26,'Score System'!$B$15:$B$19,'Score System'!$A$15:$A$19,,-1)</f>
        <v>medium</v>
      </c>
    </row>
    <row r="27" spans="1:4">
      <c r="A27" t="str">
        <f>'Formatted Overall mix GI'!$A$54</f>
        <v>Minnesota</v>
      </c>
      <c r="B27">
        <f>'Formatted Overall mix GI'!$B$54</f>
        <v>20.75</v>
      </c>
      <c r="C27" t="str">
        <f>_xlfn.XLOOKUP(A27,'Area Abbreviations'!B:B,'Area Abbreviations'!A:A)</f>
        <v>MN</v>
      </c>
      <c r="D27" t="str">
        <f>_xlfn.XLOOKUP(B27,'Score System'!$B$15:$B$19,'Score System'!$A$15:$A$19,,-1)</f>
        <v>high</v>
      </c>
    </row>
    <row r="28" spans="1:4">
      <c r="A28" t="str">
        <f>'Formatted Overall mix GI'!$A$56</f>
        <v>Mississippi</v>
      </c>
      <c r="B28">
        <f>'Formatted Overall mix GI'!$B$56</f>
        <v>-6.5</v>
      </c>
      <c r="C28" t="str">
        <f>_xlfn.XLOOKUP(A28,'Area Abbreviations'!B:B,'Area Abbreviations'!A:A)</f>
        <v>MS</v>
      </c>
      <c r="D28" t="str">
        <f>_xlfn.XLOOKUP(B28,'Score System'!$B$15:$B$19,'Score System'!$A$15:$A$19,,-1)</f>
        <v>negative</v>
      </c>
    </row>
    <row r="29" spans="1:4">
      <c r="A29" t="str">
        <f>'Formatted Overall mix GI'!$A$58</f>
        <v>Missouri</v>
      </c>
      <c r="B29">
        <f>'Formatted Overall mix GI'!$B$58</f>
        <v>-5.5</v>
      </c>
      <c r="C29" t="str">
        <f>_xlfn.XLOOKUP(A29,'Area Abbreviations'!B:B,'Area Abbreviations'!A:A)</f>
        <v>MO</v>
      </c>
      <c r="D29" t="str">
        <f>_xlfn.XLOOKUP(B29,'Score System'!$B$15:$B$19,'Score System'!$A$15:$A$19,,-1)</f>
        <v>negative</v>
      </c>
    </row>
    <row r="30" spans="1:4">
      <c r="A30" t="str">
        <f>'Formatted Overall mix GI'!$A$60</f>
        <v>Montana</v>
      </c>
      <c r="B30">
        <f>'Formatted Overall mix GI'!$B$60</f>
        <v>-6.25</v>
      </c>
      <c r="C30" t="str">
        <f>_xlfn.XLOOKUP(A30,'Area Abbreviations'!B:B,'Area Abbreviations'!A:A)</f>
        <v>MT</v>
      </c>
      <c r="D30" t="str">
        <f>_xlfn.XLOOKUP(B30,'Score System'!$B$15:$B$19,'Score System'!$A$15:$A$19,,-1)</f>
        <v>negative</v>
      </c>
    </row>
    <row r="31" spans="1:4">
      <c r="A31" t="str">
        <f>'Formatted Overall mix GI'!$A$62</f>
        <v>Nebraska</v>
      </c>
      <c r="B31">
        <f>'Formatted Overall mix GI'!$B$62</f>
        <v>-3</v>
      </c>
      <c r="C31" t="str">
        <f>_xlfn.XLOOKUP(A31,'Area Abbreviations'!B:B,'Area Abbreviations'!A:A)</f>
        <v>NE</v>
      </c>
      <c r="D31" t="str">
        <f>_xlfn.XLOOKUP(B31,'Score System'!$B$15:$B$19,'Score System'!$A$15:$A$19,,-1)</f>
        <v>negative</v>
      </c>
    </row>
    <row r="32" spans="1:4">
      <c r="A32" t="str">
        <f>'Formatted Overall mix GI'!$A$64</f>
        <v>Nevada</v>
      </c>
      <c r="B32">
        <f>'Formatted Overall mix GI'!$B$64</f>
        <v>20.75</v>
      </c>
      <c r="C32" t="str">
        <f>_xlfn.XLOOKUP(A32,'Area Abbreviations'!B:B,'Area Abbreviations'!A:A)</f>
        <v>NV</v>
      </c>
      <c r="D32" t="str">
        <f>_xlfn.XLOOKUP(B32,'Score System'!$B$15:$B$19,'Score System'!$A$15:$A$19,,-1)</f>
        <v>high</v>
      </c>
    </row>
    <row r="33" spans="1:4">
      <c r="A33" t="str">
        <f>'Formatted Overall mix GI'!$A$66</f>
        <v>New Hampshire</v>
      </c>
      <c r="B33">
        <f>'Formatted Overall mix GI'!$B$66</f>
        <v>15.75</v>
      </c>
      <c r="C33" t="str">
        <f>_xlfn.XLOOKUP(A33,'Area Abbreviations'!B:B,'Area Abbreviations'!A:A)</f>
        <v>NH</v>
      </c>
      <c r="D33" t="str">
        <f>_xlfn.XLOOKUP(B33,'Score System'!$B$15:$B$19,'Score System'!$A$15:$A$19,,-1)</f>
        <v>medium</v>
      </c>
    </row>
    <row r="34" spans="1:4">
      <c r="A34" t="str">
        <f>'Formatted Overall mix GI'!$A$68</f>
        <v>New Jersey</v>
      </c>
      <c r="B34">
        <f>'Formatted Overall mix GI'!$B$68</f>
        <v>23.25</v>
      </c>
      <c r="C34" t="str">
        <f>_xlfn.XLOOKUP(A34,'Area Abbreviations'!B:B,'Area Abbreviations'!A:A)</f>
        <v>NJ</v>
      </c>
      <c r="D34" t="str">
        <f>_xlfn.XLOOKUP(B34,'Score System'!$B$15:$B$19,'Score System'!$A$15:$A$19,,-1)</f>
        <v>high</v>
      </c>
    </row>
    <row r="35" spans="1:4">
      <c r="A35" t="str">
        <f>'Formatted Overall mix GI'!$A$70</f>
        <v>New Mexico</v>
      </c>
      <c r="B35">
        <f>'Formatted Overall mix GI'!$B$70</f>
        <v>20</v>
      </c>
      <c r="C35" t="str">
        <f>_xlfn.XLOOKUP(A35,'Area Abbreviations'!B:B,'Area Abbreviations'!A:A)</f>
        <v>NM</v>
      </c>
      <c r="D35" t="str">
        <f>_xlfn.XLOOKUP(B35,'Score System'!$B$15:$B$19,'Score System'!$A$15:$A$19,,-1)</f>
        <v>high</v>
      </c>
    </row>
    <row r="36" spans="1:4">
      <c r="A36" t="str">
        <f>'Formatted Overall mix GI'!$A$72</f>
        <v>New York</v>
      </c>
      <c r="B36">
        <f>'Formatted Overall mix GI'!$B$72</f>
        <v>24</v>
      </c>
      <c r="C36" t="str">
        <f>_xlfn.XLOOKUP(A36,'Area Abbreviations'!B:B,'Area Abbreviations'!A:A)</f>
        <v>NY</v>
      </c>
      <c r="D36" t="str">
        <f>_xlfn.XLOOKUP(B36,'Score System'!$B$15:$B$19,'Score System'!$A$15:$A$19,,-1)</f>
        <v>high</v>
      </c>
    </row>
    <row r="37" spans="1:4">
      <c r="A37" t="str">
        <f>'Formatted Overall mix GI'!$A$74</f>
        <v>North Carolina</v>
      </c>
      <c r="B37">
        <f>'Formatted Overall mix GI'!$B$74</f>
        <v>1.5</v>
      </c>
      <c r="C37" t="str">
        <f>_xlfn.XLOOKUP(A37,'Area Abbreviations'!B:B,'Area Abbreviations'!A:A)</f>
        <v>NC</v>
      </c>
      <c r="D37" t="str">
        <f>_xlfn.XLOOKUP(B37,'Score System'!$B$15:$B$19,'Score System'!$A$15:$A$19,,-1)</f>
        <v>low</v>
      </c>
    </row>
    <row r="38" spans="1:4">
      <c r="A38" t="str">
        <f>'Formatted Overall mix GI'!$A$76</f>
        <v>North Dakota</v>
      </c>
      <c r="B38">
        <f>'Formatted Overall mix GI'!$B$76</f>
        <v>2</v>
      </c>
      <c r="C38" t="str">
        <f>_xlfn.XLOOKUP(A38,'Area Abbreviations'!B:B,'Area Abbreviations'!A:A)</f>
        <v>ND</v>
      </c>
      <c r="D38" t="str">
        <f>_xlfn.XLOOKUP(B38,'Score System'!$B$15:$B$19,'Score System'!$A$15:$A$19,,-1)</f>
        <v>low</v>
      </c>
    </row>
    <row r="39" spans="1:4">
      <c r="A39" t="str">
        <f>'Formatted Overall mix GI'!$A$78</f>
        <v>Northern Mariana Islands</v>
      </c>
      <c r="B39">
        <f>'Formatted Overall mix GI'!$B$78</f>
        <v>-1.25</v>
      </c>
      <c r="C39" t="str">
        <f>_xlfn.XLOOKUP(A39,'Area Abbreviations'!B:B,'Area Abbreviations'!A:A)</f>
        <v>MP</v>
      </c>
      <c r="D39" t="str">
        <f>_xlfn.XLOOKUP(B39,'Score System'!$B$15:$B$19,'Score System'!$A$15:$A$19,,-1)</f>
        <v>negative</v>
      </c>
    </row>
    <row r="40" spans="1:4">
      <c r="A40" t="str">
        <f>'Formatted Overall mix GI'!$A$80</f>
        <v>Ohio</v>
      </c>
      <c r="B40">
        <f>'Formatted Overall mix GI'!$B$80</f>
        <v>-3</v>
      </c>
      <c r="C40" t="str">
        <f>_xlfn.XLOOKUP(A40,'Area Abbreviations'!B:B,'Area Abbreviations'!A:A)</f>
        <v>OH</v>
      </c>
      <c r="D40" t="str">
        <f>_xlfn.XLOOKUP(B40,'Score System'!$B$15:$B$19,'Score System'!$A$15:$A$19,,-1)</f>
        <v>negative</v>
      </c>
    </row>
    <row r="41" spans="1:4">
      <c r="A41" t="str">
        <f>'Formatted Overall mix GI'!$A$82</f>
        <v>Oklahoma</v>
      </c>
      <c r="B41">
        <f>'Formatted Overall mix GI'!$B$82</f>
        <v>-7</v>
      </c>
      <c r="C41" t="str">
        <f>_xlfn.XLOOKUP(A41,'Area Abbreviations'!B:B,'Area Abbreviations'!A:A)</f>
        <v>OK</v>
      </c>
      <c r="D41" t="str">
        <f>_xlfn.XLOOKUP(B41,'Score System'!$B$15:$B$19,'Score System'!$A$15:$A$19,,-1)</f>
        <v>negative</v>
      </c>
    </row>
    <row r="42" spans="1:4">
      <c r="A42" t="str">
        <f>'Formatted Overall mix GI'!$A$84</f>
        <v>Oregon</v>
      </c>
      <c r="B42">
        <f>'Formatted Overall mix GI'!$B$84</f>
        <v>21</v>
      </c>
      <c r="C42" t="str">
        <f>_xlfn.XLOOKUP(A42,'Area Abbreviations'!B:B,'Area Abbreviations'!A:A)</f>
        <v>OR</v>
      </c>
      <c r="D42" t="str">
        <f>_xlfn.XLOOKUP(B42,'Score System'!$B$15:$B$19,'Score System'!$A$15:$A$19,,-1)</f>
        <v>high</v>
      </c>
    </row>
    <row r="43" spans="1:4">
      <c r="A43" t="str">
        <f>'Formatted Overall mix GI'!$A$86</f>
        <v>Pennsylvania</v>
      </c>
      <c r="B43">
        <f>'Formatted Overall mix GI'!$B$86</f>
        <v>10.25</v>
      </c>
      <c r="C43" t="str">
        <f>_xlfn.XLOOKUP(A43,'Area Abbreviations'!B:B,'Area Abbreviations'!A:A)</f>
        <v>PA</v>
      </c>
      <c r="D43" t="str">
        <f>_xlfn.XLOOKUP(B43,'Score System'!$B$15:$B$19,'Score System'!$A$15:$A$19,,-1)</f>
        <v>fair</v>
      </c>
    </row>
    <row r="44" spans="1:4">
      <c r="A44" t="str">
        <f>'Formatted Overall mix GI'!$A$88</f>
        <v>Puerto Rico</v>
      </c>
      <c r="B44">
        <f>'Formatted Overall mix GI'!$B$88</f>
        <v>9.75</v>
      </c>
      <c r="C44" t="str">
        <f>_xlfn.XLOOKUP(A44,'Area Abbreviations'!B:B,'Area Abbreviations'!A:A)</f>
        <v>PR</v>
      </c>
      <c r="D44" t="str">
        <f>_xlfn.XLOOKUP(B44,'Score System'!$B$15:$B$19,'Score System'!$A$15:$A$19,,-1)</f>
        <v>fair</v>
      </c>
    </row>
    <row r="45" spans="1:4">
      <c r="A45" t="str">
        <f>'Formatted Overall mix GI'!$A$90</f>
        <v>Rhode Island</v>
      </c>
      <c r="B45">
        <f>'Formatted Overall mix GI'!$B$90</f>
        <v>20.25</v>
      </c>
      <c r="C45" t="str">
        <f>_xlfn.XLOOKUP(A45,'Area Abbreviations'!B:B,'Area Abbreviations'!A:A)</f>
        <v>RI</v>
      </c>
      <c r="D45" t="str">
        <f>_xlfn.XLOOKUP(B45,'Score System'!$B$15:$B$19,'Score System'!$A$15:$A$19,,-1)</f>
        <v>high</v>
      </c>
    </row>
    <row r="46" spans="1:4">
      <c r="A46" t="str">
        <f>'Formatted Overall mix GI'!$A$92</f>
        <v>South Carolina</v>
      </c>
      <c r="B46">
        <f>'Formatted Overall mix GI'!$B$92</f>
        <v>-9.25</v>
      </c>
      <c r="C46" t="str">
        <f>_xlfn.XLOOKUP(A46,'Area Abbreviations'!B:B,'Area Abbreviations'!A:A)</f>
        <v>SC</v>
      </c>
      <c r="D46" t="str">
        <f>_xlfn.XLOOKUP(B46,'Score System'!$B$15:$B$19,'Score System'!$A$15:$A$19,,-1)</f>
        <v>negative</v>
      </c>
    </row>
    <row r="47" spans="1:4">
      <c r="A47" t="str">
        <f>'Formatted Overall mix GI'!$A$94</f>
        <v>South Dakota</v>
      </c>
      <c r="B47">
        <f>'Formatted Overall mix GI'!$B$94</f>
        <v>-7</v>
      </c>
      <c r="C47" t="str">
        <f>_xlfn.XLOOKUP(A47,'Area Abbreviations'!B:B,'Area Abbreviations'!A:A)</f>
        <v>SD</v>
      </c>
      <c r="D47" t="str">
        <f>_xlfn.XLOOKUP(B47,'Score System'!$B$15:$B$19,'Score System'!$A$15:$A$19,,-1)</f>
        <v>negative</v>
      </c>
    </row>
    <row r="48" spans="1:4">
      <c r="A48" t="str">
        <f>'Formatted Overall mix GI'!$A$96</f>
        <v>Tennessee</v>
      </c>
      <c r="B48">
        <f>'Formatted Overall mix GI'!$B$96</f>
        <v>-11.25</v>
      </c>
      <c r="C48" t="str">
        <f>_xlfn.XLOOKUP(A48,'Area Abbreviations'!B:B,'Area Abbreviations'!A:A)</f>
        <v>TN</v>
      </c>
      <c r="D48" t="str">
        <f>_xlfn.XLOOKUP(B48,'Score System'!$B$15:$B$19,'Score System'!$A$15:$A$19,,-1)</f>
        <v>negative</v>
      </c>
    </row>
    <row r="49" spans="1:4">
      <c r="A49" t="str">
        <f>'Formatted Overall mix GI'!$A$98</f>
        <v>Texas</v>
      </c>
      <c r="B49">
        <f>'Formatted Overall mix GI'!$B$98</f>
        <v>-8</v>
      </c>
      <c r="C49" t="str">
        <f>_xlfn.XLOOKUP(A49,'Area Abbreviations'!B:B,'Area Abbreviations'!A:A)</f>
        <v>TX</v>
      </c>
      <c r="D49" t="str">
        <f>_xlfn.XLOOKUP(B49,'Score System'!$B$15:$B$19,'Score System'!$A$15:$A$19,,-1)</f>
        <v>negative</v>
      </c>
    </row>
    <row r="50" spans="1:4">
      <c r="A50" t="str">
        <f>'Formatted Overall mix GI'!$A$100</f>
        <v>U.S. Virgin Islands</v>
      </c>
      <c r="B50">
        <f>'Formatted Overall mix GI'!$B$100</f>
        <v>6.25</v>
      </c>
      <c r="C50" t="str">
        <f>_xlfn.XLOOKUP(A50,'Area Abbreviations'!B:B,'Area Abbreviations'!A:A)</f>
        <v>VI</v>
      </c>
      <c r="D50" t="str">
        <f>_xlfn.XLOOKUP(B50,'Score System'!$B$15:$B$19,'Score System'!$A$15:$A$19,,-1)</f>
        <v>fair</v>
      </c>
    </row>
    <row r="51" spans="1:4">
      <c r="A51" s="5" t="s">
        <v>317</v>
      </c>
      <c r="B51">
        <f>B50</f>
        <v>6.25</v>
      </c>
      <c r="D51" t="str">
        <f>D50</f>
        <v>fair</v>
      </c>
    </row>
    <row r="52" spans="1:4">
      <c r="A52" s="5" t="s">
        <v>304</v>
      </c>
      <c r="B52">
        <f>B50</f>
        <v>6.25</v>
      </c>
      <c r="D52" t="str">
        <f>D50</f>
        <v>fair</v>
      </c>
    </row>
    <row r="53" spans="1:4">
      <c r="A53" t="str">
        <f>'Formatted Overall mix GI'!$A$102</f>
        <v>Utah</v>
      </c>
      <c r="B53">
        <f>'Formatted Overall mix GI'!$B$102</f>
        <v>2.25</v>
      </c>
      <c r="C53" t="str">
        <f>_xlfn.XLOOKUP(A53,'Area Abbreviations'!B:B,'Area Abbreviations'!A:A)</f>
        <v>UT</v>
      </c>
      <c r="D53" t="str">
        <f>_xlfn.XLOOKUP(B53,'Score System'!$B$15:$B$19,'Score System'!$A$15:$A$19,,-1)</f>
        <v>low</v>
      </c>
    </row>
    <row r="54" spans="1:4">
      <c r="A54" t="str">
        <f>'Formatted Overall mix GI'!$A$104</f>
        <v>Vermont</v>
      </c>
      <c r="B54">
        <f>'Formatted Overall mix GI'!$B$104</f>
        <v>20.5</v>
      </c>
      <c r="C54" t="str">
        <f>_xlfn.XLOOKUP(A54,'Area Abbreviations'!B:B,'Area Abbreviations'!A:A)</f>
        <v>VT</v>
      </c>
      <c r="D54" t="str">
        <f>_xlfn.XLOOKUP(B54,'Score System'!$B$15:$B$19,'Score System'!$A$15:$A$19,,-1)</f>
        <v>high</v>
      </c>
    </row>
    <row r="55" spans="1:4">
      <c r="A55" t="str">
        <f>'Formatted Overall mix GI'!$A$106</f>
        <v>Virginia</v>
      </c>
      <c r="B55">
        <f>'Formatted Overall mix GI'!$B$106</f>
        <v>12.25</v>
      </c>
      <c r="C55" t="str">
        <f>_xlfn.XLOOKUP(A55,'Area Abbreviations'!B:B,'Area Abbreviations'!A:A)</f>
        <v>VA</v>
      </c>
      <c r="D55" t="str">
        <f>_xlfn.XLOOKUP(B55,'Score System'!$B$15:$B$19,'Score System'!$A$15:$A$19,,-1)</f>
        <v>medium</v>
      </c>
    </row>
    <row r="56" spans="1:4">
      <c r="A56" t="str">
        <f>'Formatted Overall mix GI'!$A$108</f>
        <v>Washington</v>
      </c>
      <c r="B56">
        <f>'Formatted Overall mix GI'!$B$108</f>
        <v>22</v>
      </c>
      <c r="C56" t="str">
        <f>_xlfn.XLOOKUP(A56,'Area Abbreviations'!B:B,'Area Abbreviations'!A:A)</f>
        <v>WA</v>
      </c>
      <c r="D56" t="str">
        <f>_xlfn.XLOOKUP(B56,'Score System'!$B$15:$B$19,'Score System'!$A$15:$A$19,,-1)</f>
        <v>high</v>
      </c>
    </row>
    <row r="57" spans="1:4">
      <c r="A57" t="str">
        <f>'Formatted Overall mix GI'!$A$110</f>
        <v>West Virginia</v>
      </c>
      <c r="B57">
        <f>'Formatted Overall mix GI'!$B$110</f>
        <v>-3.75</v>
      </c>
      <c r="C57" t="str">
        <f>_xlfn.XLOOKUP(A57,'Area Abbreviations'!B:B,'Area Abbreviations'!A:A)</f>
        <v>WV</v>
      </c>
      <c r="D57" t="str">
        <f>_xlfn.XLOOKUP(B57,'Score System'!$B$15:$B$19,'Score System'!$A$15:$A$19,,-1)</f>
        <v>negative</v>
      </c>
    </row>
    <row r="58" spans="1:4">
      <c r="A58" t="str">
        <f>'Formatted Overall mix GI'!$A$112</f>
        <v>Wisconsin</v>
      </c>
      <c r="B58">
        <f>'Formatted Overall mix GI'!$B$112</f>
        <v>5.75</v>
      </c>
      <c r="C58" t="str">
        <f>_xlfn.XLOOKUP(A58,'Area Abbreviations'!B:B,'Area Abbreviations'!A:A)</f>
        <v>WI</v>
      </c>
      <c r="D58" t="str">
        <f>_xlfn.XLOOKUP(B58,'Score System'!$B$15:$B$19,'Score System'!$A$15:$A$19,,-1)</f>
        <v>low</v>
      </c>
    </row>
    <row r="59" spans="1:4">
      <c r="A59" t="str">
        <f>'Formatted Overall mix GI'!$A$114</f>
        <v>Wyoming</v>
      </c>
      <c r="B59">
        <f>'Formatted Overall mix GI'!$B$114</f>
        <v>-7.5</v>
      </c>
      <c r="C59" t="str">
        <f>_xlfn.XLOOKUP(A59,'Area Abbreviations'!B:B,'Area Abbreviations'!A:A)</f>
        <v>WY</v>
      </c>
      <c r="D59" t="str">
        <f>_xlfn.XLOOKUP(B59,'Score System'!$B$15:$B$19,'Score System'!$A$15:$A$19,,-1)</f>
        <v>negative</v>
      </c>
    </row>
    <row r="67" spans="8:15" ht="20" thickBot="1">
      <c r="H67" s="18" t="s">
        <v>312</v>
      </c>
      <c r="I67" s="19" t="s">
        <v>313</v>
      </c>
      <c r="J67" s="19" t="s">
        <v>314</v>
      </c>
      <c r="O67" t="s">
        <v>315</v>
      </c>
    </row>
    <row r="68" spans="8:15" ht="409.6" thickTop="1">
      <c r="H68" s="17" t="str" cm="1">
        <f t="array" ref="H68">_xlfn.TEXTJOIN(CHAR(10), TRUE,
    "GenderIdentityTally: {",
    _xlfn.TEXTJOIN(CHAR(10), TRUE,
        _xlfn.MAP(C1:C59, B1:B59, D1:D59,
            _xlfn.LAMBDA(_xlpm.abbr,_xlpm.score,_xlpm.grade,
                IF(_xlpm.abbr &lt;&gt; "",
                    CHAR(9) &amp; """" &amp; _xlpm.abbr &amp; """: {" &amp; CHAR(10) &amp;
                    CHAR(9) &amp; CHAR(9) &amp; """colorGrade"": """ &amp; _xlpm.grade &amp; """," &amp; CHAR(10) &amp;
                    CHAR(9) &amp; CHAR(9) &amp; """score"": " &amp; _xlpm.score &amp; CHAR(10) &amp;
                    CHAR(9) &amp; "},", "")
            )
        )
    ),
    _xlfn.TEXTJOIN(CHAR(10), TRUE,
        _xlfn.MAP(A1:A59, B1:B59, C1:C59, D1:D59,
            _xlfn.LAMBDA(_xlpm.state,_xlpm.score,_xlpm.abbr,_xlpm.grade,
                IF(_xlpm.state &lt;&gt; "",
                    CHAR(9) &amp; """" &amp; _xlpm.state &amp; """: {" &amp; CHAR(10) &amp;
                    CHAR(9) &amp; CHAR(9) &amp; """colorGrade"": """ &amp; _xlpm.grade &amp; """," &amp; CHAR(10) &amp;
                    CHAR(9) &amp; CHAR(9) &amp; """score"": " &amp; _xlpm.score &amp; CHAR(10) &amp;
                    CHAR(9) &amp; "},", "")
            )
        )
    ),
    "}"
)</f>
        <v>GenderIdentityTally: {
	"AL": {
		"colorGrade": "negative",
		"score": -8.5
	},
	"AK": {
		"colorGrade": "low",
		"score": 4
	},
	"AS": {
		"colorGrade": "negative",
		"score": -1
	},
	"AZ": {
		"colorGrade": "low",
		"score": 2.25
	},
	"AR": {
		"colorGrade": "negative",
		"score": -10.25
	},
	"CA": {
		"colorGrade": "high",
		"score": 23.25
	},
	"CO": {
		"colorGrade": "high",
		"score": 23
	},
	"CT": {
		"colorGrade": "high",
		"score": 22
	},
	"DE": {
		"colorGrade": "medium",
		"score": 17
	},
	"DC": {
		"colorGrade": "high",
		"score": 22.25
	},
	"D.C.": {
		"colorGrade": "high",
		"score": 22.25
	},
	"FL": {
		"colorGrade": "negative",
		"score": -5.75
	},
	"GA": {
		"colorGrade": "negative",
		"score": -2.25
	},
	"GU": {
		"colorGrade": "negative",
		"score": -0.75
	},
	"HI": {
		"colorGrade": "medium",
		"score": 17.25
	},
	"ID": {
		"colorGrade": "negative",
		"score": -11.25
	},
	"IL": {
		"colorGrade": "high",
		"score": 23.5
	},
	"IN": {
		"colorGrade": "negative",
		"score": -5.5
	},
	"IA": {
		"colorGrade": "negative",
		"score": -5
	},
	"KS": {
		"colorGrade": "negative",
		"score": -1.75
	},
	"KY": {
		"colorGrade": "negative",
		"score": -0.25
	},
	"LA": {
		"colorGrade": "negative",
		"score": -7.25
	},
	"ME": {
		"colorGrade": "high",
		"score": 23.5
	},
	"MD": {
		"colorGrade": "high",
		"score": 23
	},
	"MA": {
		"colorGrade": "high",
		"score": 21.75
	},
	"MI": {
		"colorGrade": "medium",
		"score": 16.5
	},
	"MN": {
		"colorGrade": "high",
		"score": 20.75
	},
	"MS": {
		"colorGrade": "negative",
		"score": -6.5
	},
	"MO": {
		"colorGrade": "negative",
		"score": -5.5
	},
	"MT": {
		"colorGrade": "negative",
		"score": -6.25
	},
	"NE": {
		"colorGrade": "negative",
		"score": -3
	},
	"NV": {
		"colorGrade": "high",
		"score": 20.75
	},
	"NH": {
		"colorGrade": "medium",
		"score": 15.75
	},
	"NJ": {
		"colorGrade": "high",
		"score": 23.25
	},
	"NM": {
		"colorGrade": "high",
		"score": 20
	},
	"NY": {
		"colorGrade": "high",
		"score": 24
	},
	"NC": {
		"colorGrade": "low",
		"score": 1.5
	},
	"ND": {
		"colorGrade": "low",
		"score": 2
	},
	"MP": {
		"colorGrade": "negative",
		"score": -1.25
	},
	"OH": {
		"colorGrade": "negative",
		"score": -3
	},
	"OK": {
		"colorGrade": "negative",
		"score": -7
	},
	"OR": {
		"colorGrade": "high",
		"score": 21
	},
	"PA": {
		"colorGrade": "fair",
		"score": 10.25
	},
	"PR": {
		"colorGrade": "fair",
		"score": 9.75
	},
	"RI": {
		"colorGrade": "high",
		"score": 20.25
	},
	"SC": {
		"colorGrade": "negative",
		"score": -9.25
	},
	"SD": {
		"colorGrade": "negative",
		"score": -7
	},
	"TN": {
		"colorGrade": "negative",
		"score": -11.25
	},
	"TX": {
		"colorGrade": "negative",
		"score": -8
	},
	"VI": {
		"colorGrade": "fair",
		"score": 6.25
	},
	"UT": {
		"colorGrade": "low",
		"score": 2.25
	},
	"VT": {
		"colorGrade": "high",
		"score": 20.5
	},
	"VA": {
		"colorGrade": "medium",
		"score": 12.25
	},
	"WA": {
		"colorGrade": "high",
		"score": 22
	},
	"WV": {
		"colorGrade": "negative",
		"score": -3.75
	},
	"WI": {
		"colorGrade": "low",
		"score": 5.75
	},
	"WY": {
		"colorGrade": "negative",
		"score": -7.5
	},
	"Alabama": {
		"colorGrade": "negative",
		"score": -8.5
	},
	"Alaska": {
		"colorGrade": "low",
		"score": 4
	},
	"American Samoa": {
		"colorGrade": "negative",
		"score": -1
	},
	"Arizona": {
		"colorGrade": "low",
		"score": 2.25
	},
	"Arkansas": {
		"colorGrade": "negative",
		"score": -10.25
	},
	"California": {
		"colorGrade": "high",
		"score": 23.25
	},
	"Colorado": {
		"colorGrade": "high",
		"score": 23
	},
	"Connecticut": {
		"colorGrade": "high",
		"score": 22
	},
	"Delaware": {
		"colorGrade": "medium",
		"score": 17
	},
	"District of Columbia": {
		"colorGrade": "high",
		"score": 22.25
	},
	"Florida": {
		"colorGrade": "negative",
		"score": -5.75
	},
	"Georgia": {
		"colorGrade": "negative",
		"score": -2.25
	},
	"Guam": {
		"colorGrade": "negative",
		"score": -0.75
	},
	"Hawaii": {
		"colorGrade": "medium",
		"score": 17.25
	},
	"Idaho": {
		"colorGrade": "negative",
		"score": -11.25
	},
	"Illinois": {
		"colorGrade": "high",
		"score": 23.5
	},
	"Indiana": {
		"colorGrade": "negative",
		"score": -5.5
	},
	"Iowa": {
		"colorGrade": "negative",
		"score": -5
	},
	"Kansas": {
		"colorGrade": "negative",
		"score": -1.75
	},
	"Kentucky": {
		"colorGrade": "negative",
		"score": -0.25
	},
	"Louisiana": {
		"colorGrade": "negative",
		"score": -7.25
	},
	"Maine": {
		"colorGrade": "high",
		"score": 23.5
	},
	"Maryland": {
		"colorGrade": "high",
		"score": 23
	},
	"Massachusetts": {
		"colorGrade": "high",
		"score": 21.75
	},
	"Michigan": {
		"colorGrade": "medium",
		"score": 16.5
	},
	"Minnesota": {
		"colorGrade": "high",
		"score": 20.75
	},
	"Mississippi": {
		"colorGrade": "negative",
		"score": -6.5
	},
	"Missouri": {
		"colorGrade": "negative",
		"score": -5.5
	},
	"Montana": {
		"colorGrade": "negative",
		"score": -6.25
	},
	"Nebraska": {
		"colorGrade": "negative",
		"score": -3
	},
	"Nevada": {
		"colorGrade": "high",
		"score": 20.75
	},
	"New Hampshire": {
		"colorGrade": "medium",
		"score": 15.75
	},
	"New Jersey": {
		"colorGrade": "high",
		"score": 23.25
	},
	"New Mexico": {
		"colorGrade": "high",
		"score": 20
	},
	"New York": {
		"colorGrade": "high",
		"score": 24
	},
	"North Carolina": {
		"colorGrade": "low",
		"score": 1.5
	},
	"North Dakota": {
		"colorGrade": "low",
		"score": 2
	},
	"Northern Mariana Islands": {
		"colorGrade": "negative",
		"score": -1.25
	},
	"Ohio": {
		"colorGrade": "negative",
		"score": -3
	},
	"Oklahoma": {
		"colorGrade": "negative",
		"score": -7
	},
	"Oregon": {
		"colorGrade": "high",
		"score": 21
	},
	"Pennsylvania": {
		"colorGrade": "fair",
		"score": 10.25
	},
	"Puerto Rico": {
		"colorGrade": "fair",
		"score": 9.75
	},
	"Rhode Island": {
		"colorGrade": "high",
		"score": 20.25
	},
	"South Carolina": {
		"colorGrade": "negative",
		"score": -9.25
	},
	"South Dakota": {
		"colorGrade": "negative",
		"score": -7
	},
	"Tennessee": {
		"colorGrade": "negative",
		"score": -11.25
	},
	"Texas": {
		"colorGrade": "negative",
		"score": -8
	},
	"U.S. Virgin Islands": {
		"colorGrade": "fair",
		"score": 6.25
	},
	"US Virgin Islands": {
		"colorGrade": "fair",
		"score": 6.25
	},
	"Virgin Islands": {
		"colorGrade": "fair",
		"score": 6.25
	},
	"Utah": {
		"colorGrade": "low",
		"score": 2.25
	},
	"Vermont": {
		"colorGrade": "high",
		"score": 20.5
	},
	"Virginia": {
		"colorGrade": "medium",
		"score": 12.25
	},
	"Washington": {
		"colorGrade": "high",
		"score": 22
	},
	"West Virginia": {
		"colorGrade": "negative",
		"score": -3.75
	},
	"Wisconsin": {
		"colorGrade": "low",
		"score": 5.75
	},
	"Wyoming": {
		"colorGrade": "negative",
		"score": -7.5
	},
}</v>
      </c>
    </row>
  </sheetData>
  <mergeCells count="1">
    <mergeCell ref="I1:O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CE5D8-677B-4082-B2BF-3013FED9B699}">
  <dimension ref="A1:P68"/>
  <sheetViews>
    <sheetView workbookViewId="0">
      <selection activeCell="N4" sqref="N4"/>
    </sheetView>
  </sheetViews>
  <sheetFormatPr defaultRowHeight="14.5"/>
  <cols>
    <col min="8" max="8" width="56.6328125" customWidth="1"/>
  </cols>
  <sheetData>
    <row r="1" spans="1:16" ht="14.5" customHeight="1">
      <c r="A1" t="str">
        <f>'Formatted Overall mix GI'!$A$3</f>
        <v>Alabama</v>
      </c>
      <c r="B1">
        <f>'Formatted Overall mix GI'!$B$3</f>
        <v>-10.5</v>
      </c>
      <c r="C1" t="str">
        <f>_xlfn.XLOOKUP(A1,'Area Abbreviations'!B:B,'Area Abbreviations'!A:A)</f>
        <v>AL</v>
      </c>
      <c r="D1" t="str">
        <f>_xlfn.XLOOKUP(B1,'Score System'!$D$15:$D$19,'Score System'!$A$15:$A$19,,-1)</f>
        <v>negative</v>
      </c>
      <c r="H1" s="18" t="s">
        <v>312</v>
      </c>
      <c r="I1" s="22" t="s">
        <v>320</v>
      </c>
      <c r="J1" s="22"/>
      <c r="K1" s="22"/>
      <c r="L1" s="22"/>
      <c r="M1" s="22"/>
      <c r="N1" s="22"/>
      <c r="O1" s="22"/>
      <c r="P1" t="s">
        <v>315</v>
      </c>
    </row>
    <row r="2" spans="1:16" ht="14.5" customHeight="1">
      <c r="A2" t="str">
        <f>'Formatted Overall mix GI'!$A$5</f>
        <v>Alaska</v>
      </c>
      <c r="B2">
        <f>'Formatted Overall mix GI'!$B$5</f>
        <v>8.25</v>
      </c>
      <c r="C2" t="str">
        <f>_xlfn.XLOOKUP(A2,'Area Abbreviations'!B:B,'Area Abbreviations'!A:A)</f>
        <v>AK</v>
      </c>
      <c r="D2" t="str">
        <f>_xlfn.XLOOKUP(B2,'Score System'!$D$15:$D$19,'Score System'!$A$15:$A$19,,-1)</f>
        <v>low</v>
      </c>
      <c r="H2" s="17" t="str" cm="1">
        <f t="array" ref="H2">_xlfn.TEXTJOIN(CHAR(10), TRUE,
    "OverallTally: {",
    _xlfn.TEXTJOIN(CHAR(10), TRUE,
        _xlfn.MAP(C1:C59, B1:B59, D1:D59,
            _xlfn.LAMBDA(_xlpm.abbr,_xlpm.score,_xlpm.grade,
                IF(_xlpm.abbr &lt;&gt; "",
                    CHAR(9) &amp; """" &amp; _xlpm.abbr &amp; """: {" &amp; CHAR(10) &amp;
                    CHAR(9) &amp; CHAR(9) &amp; """colorGrade"": """ &amp; _xlpm.grade &amp; """," &amp; CHAR(10) &amp;
                    CHAR(9) &amp; CHAR(9) &amp; """score"": " &amp; _xlpm.score &amp; CHAR(10) &amp;
                    CHAR(9) &amp; "},", "")
            )
        )
    ),
    _xlfn.TEXTJOIN(CHAR(10), TRUE,
        _xlfn.MAP(A1:A59, B1:B59, C1:C59, D1:D59,
            _xlfn.LAMBDA(_xlpm.state,_xlpm.score,_xlpm.abbr,_xlpm.grade,
                IF(_xlpm.state &lt;&gt; "",
                    CHAR(9) &amp; """" &amp; _xlpm.state &amp; """: {" &amp; CHAR(10) &amp;
                    CHAR(9) &amp; CHAR(9) &amp; """colorGrade"": """ &amp; _xlpm.grade &amp; """," &amp; CHAR(10) &amp;
                    CHAR(9) &amp; CHAR(9) &amp; """score"": " &amp; _xlpm.score &amp; CHAR(10) &amp;
                    CHAR(9) &amp; "},", "")
            )
        )
    ),
    "}"
)</f>
        <v>OverallTally: {
	"AL": {
		"colorGrade": "negative",
		"score": -10.5
	},
	"AK": {
		"colorGrade": "low",
		"score": 8.25
	},
	"AS": {
		"colorGrade": "low",
		"score": 0
	},
	"AZ": {
		"colorGrade": "low",
		"score": 8.75
	},
	"AR": {
		"colorGrade": "negative",
		"score": -14.25
	},
	"CA": {
		"colorGrade": "high",
		"score": 45
	},
	"CO": {
		"colorGrade": "high",
		"score": 45.25
	},
	"CT": {
		"colorGrade": "high",
		"score": 40.75
	},
	"DE": {
		"colorGrade": "medium",
		"score": 31
	},
	"DC": {
		"colorGrade": "high",
		"score": 40.75
	},
	"D.C.": {
		"colorGrade": "high",
		"score": 40.75
	},
	"FL": {
		"colorGrade": "negative",
		"score": -3
	},
	"GA": {
		"colorGrade": "negative",
		"score": -0.75
	},
	"GU": {
		"colorGrade": "low",
		"score": 4.75
	},
	"HI": {
		"colorGrade": "medium",
		"score": 33.25
	},
	"ID": {
		"colorGrade": "negative",
		"score": -11.5
	},
	"IL": {
		"colorGrade": "high",
		"score": 45
	},
	"IN": {
		"colorGrade": "negative",
		"score": -2.75
	},
	"IA": {
		"colorGrade": "low",
		"score": 4.5
	},
	"KS": {
		"colorGrade": "low",
		"score": 2.5
	},
	"KY": {
		"colorGrade": "low",
		"score": 4.75
	},
	"LA": {
		"colorGrade": "negative",
		"score": -6.75
	},
	"ME": {
		"colorGrade": "high",
		"score": 44.5
	},
	"MD": {
		"colorGrade": "high",
		"score": 43
	},
	"MA": {
		"colorGrade": "high",
		"score": 40
	},
	"MI": {
		"colorGrade": "medium",
		"score": 30
	},
	"MN": {
		"colorGrade": "medium",
		"score": 36.75
	},
	"MS": {
		"colorGrade": "negative",
		"score": -7.5
	},
	"MO": {
		"colorGrade": "negative",
		"score": -1.5
	},
	"MT": {
		"colorGrade": "negative",
		"score": -3.75
	},
	"NE": {
		"colorGrade": "low",
		"score": 1.25
	},
	"NV": {
		"colorGrade": "high",
		"score": 42.25
	},
	"NH": {
		"colorGrade": "medium",
		"score": 32
	},
	"NJ": {
		"colorGrade": "high",
		"score": 41.75
	},
	"NM": {
		"colorGrade": "medium",
		"score": 36
	},
	"NY": {
		"colorGrade": "high",
		"score": 44.5
	},
	"NC": {
		"colorGrade": "low",
		"score": 6.25
	},
	"ND": {
		"colorGrade": "low",
		"score": 10.5
	},
	"MP": {
		"colorGrade": "low",
		"score": 2.75
	},
	"OH": {
		"colorGrade": "low",
		"score": 1.75
	},
	"OK": {
		"colorGrade": "negative",
		"score": -5.5
	},
	"OR": {
		"colorGrade": "high",
		"score": 39.5
	},
	"PA": {
		"colorGrade": "fair",
		"score": 16.75
	},
	"PR": {
		"colorGrade": "fair",
		"score": 19.25
	},
	"RI": {
		"colorGrade": "high",
		"score": 38
	},
	"SC": {
		"colorGrade": "negative",
		"score": -9.75
	},
	"SD": {
		"colorGrade": "negative",
		"score": -7.5
	},
	"TN": {
		"colorGrade": "negative",
		"score": -14
	},
	"TX": {
		"colorGrade": "negative",
		"score": -6.75
	},
	"VI": {
		"colorGrade": "fair",
		"score": 15
	},
	"UT": {
		"colorGrade": "low",
		"score": 10
	},
	"VT": {
		"colorGrade": "high",
		"score": 39.5
	},
	"VA": {
		"colorGrade": "fair",
		"score": 24
	},
	"WA": {
		"colorGrade": "high",
		"score": 40.5
	},
	"WV": {
		"colorGrade": "negative",
		"score": -0.75
	},
	"WI": {
		"colorGrade": "fair",
		"score": 18.25
	},
	"WY": {
		"colorGrade": "negative",
		"score": -6
	},
	"Alabama": {
		"colorGrade": "negative",
		"score": -10.5
	},
	"Alaska": {
		"colorGrade": "low",
		"score": 8.25
	},
	"American Samoa": {
		"colorGrade": "low",
		"score": 0
	},
	"Arizona": {
		"colorGrade": "low",
		"score": 8.75
	},
	"Arkansas": {
		"colorGrade": "negative",
		"score": -14.25
	},
	"California": {
		"colorGrade": "high",
		"score": 45
	},
	"Colorado": {
		"colorGrade": "high",
		"score": 45.25
	},
	"Connecticut": {
		"colorGrade": "high",
		"score": 40.75
	},
	"Delaware": {
		"colorGrade": "medium",
		"score": 31
	},
	"District of Columbia": {
		"colorGrade": "high",
		"score": 40.75
	},
	"Florida": {
		"colorGrade": "negative",
		"score": -3
	},
	"Georgia": {
		"colorGrade": "negative",
		"score": -0.75
	},
	"Guam": {
		"colorGrade": "low",
		"score": 4.75
	},
	"Hawaii": {
		"colorGrade": "medium",
		"score": 33.25
	},
	"Idaho": {
		"colorGrade": "negative",
		"score": -11.5
	},
	"Illinois": {
		"colorGrade": "high",
		"score": 45
	},
	"Indiana": {
		"colorGrade": "negative",
		"score": -2.75
	},
	"Iowa": {
		"colorGrade": "low",
		"score": 4.5
	},
	"Kansas": {
		"colorGrade": "low",
		"score": 2.5
	},
	"Kentucky": {
		"colorGrade": "low",
		"score": 4.75
	},
	"Louisiana": {
		"colorGrade": "negative",
		"score": -6.75
	},
	"Maine": {
		"colorGrade": "high",
		"score": 44.5
	},
	"Maryland": {
		"colorGrade": "high",
		"score": 43
	},
	"Massachusetts": {
		"colorGrade": "high",
		"score": 40
	},
	"Michigan": {
		"colorGrade": "medium",
		"score": 30
	},
	"Minnesota": {
		"colorGrade": "medium",
		"score": 36.75
	},
	"Mississippi": {
		"colorGrade": "negative",
		"score": -7.5
	},
	"Missouri": {
		"colorGrade": "negative",
		"score": -1.5
	},
	"Montana": {
		"colorGrade": "negative",
		"score": -3.75
	},
	"Nebraska": {
		"colorGrade": "low",
		"score": 1.25
	},
	"Nevada": {
		"colorGrade": "high",
		"score": 42.25
	},
	"New Hampshire": {
		"colorGrade": "medium",
		"score": 32
	},
	"New Jersey": {
		"colorGrade": "high",
		"score": 41.75
	},
	"New Mexico": {
		"colorGrade": "medium",
		"score": 36
	},
	"New York": {
		"colorGrade": "high",
		"score": 44.5
	},
	"North Carolina": {
		"colorGrade": "low",
		"score": 6.25
	},
	"North Dakota": {
		"colorGrade": "low",
		"score": 10.5
	},
	"Northern Mariana Islands": {
		"colorGrade": "low",
		"score": 2.75
	},
	"Ohio": {
		"colorGrade": "low",
		"score": 1.75
	},
	"Oklahoma": {
		"colorGrade": "negative",
		"score": -5.5
	},
	"Oregon": {
		"colorGrade": "high",
		"score": 39.5
	},
	"Pennsylvania": {
		"colorGrade": "fair",
		"score": 16.75
	},
	"Puerto Rico": {
		"colorGrade": "fair",
		"score": 19.25
	},
	"Rhode Island": {
		"colorGrade": "high",
		"score": 38
	},
	"South Carolina": {
		"colorGrade": "negative",
		"score": -9.75
	},
	"South Dakota": {
		"colorGrade": "negative",
		"score": -7.5
	},
	"Tennessee": {
		"colorGrade": "negative",
		"score": -14
	},
	"Texas": {
		"colorGrade": "negative",
		"score": -6.75
	},
	"U.S. Virgin Islands": {
		"colorGrade": "fair",
		"score": 15
	},
	"US Virgin Islands": {
		"colorGrade": "fair",
		"score": 15
	},
	"Virgin Islands": {
		"colorGrade": "fair",
		"score": 15
	},
	"Utah": {
		"colorGrade": "low",
		"score": 10
	},
	"Vermont": {
		"colorGrade": "high",
		"score": 39.5
	},
	"Virginia": {
		"colorGrade": "fair",
		"score": 24
	},
	"Washington": {
		"colorGrade": "high",
		"score": 40.5
	},
	"West Virginia": {
		"colorGrade": "negative",
		"score": -0.75
	},
	"Wisconsin": {
		"colorGrade": "fair",
		"score": 18.25
	},
	"Wyoming": {
		"colorGrade": "negative",
		"score": -6
	},
}</v>
      </c>
      <c r="I2" s="22"/>
      <c r="J2" s="22"/>
      <c r="K2" s="22"/>
      <c r="L2" s="22"/>
      <c r="M2" s="22"/>
      <c r="N2" s="22"/>
      <c r="O2" s="22"/>
    </row>
    <row r="3" spans="1:16" ht="14.5" customHeight="1">
      <c r="A3" t="str">
        <f>'Formatted Overall mix GI'!$A$7</f>
        <v>American Samoa</v>
      </c>
      <c r="B3">
        <f>'Formatted Overall mix GI'!$B$7</f>
        <v>0</v>
      </c>
      <c r="C3" t="str">
        <f>_xlfn.XLOOKUP(A3,'Area Abbreviations'!B:B,'Area Abbreviations'!A:A)</f>
        <v>AS</v>
      </c>
      <c r="D3" t="str">
        <f>_xlfn.XLOOKUP(B3,'Score System'!$D$15:$D$19,'Score System'!$A$15:$A$19,,-1)</f>
        <v>low</v>
      </c>
      <c r="I3" s="23"/>
      <c r="J3" s="23"/>
      <c r="K3" s="23"/>
      <c r="L3" s="23"/>
    </row>
    <row r="4" spans="1:16" ht="14.5" customHeight="1">
      <c r="A4" t="str">
        <f>'Formatted Overall mix GI'!$A$9</f>
        <v>Arizona</v>
      </c>
      <c r="B4">
        <f>'Formatted Overall mix GI'!$B$9</f>
        <v>8.75</v>
      </c>
      <c r="C4" t="str">
        <f>_xlfn.XLOOKUP(A4,'Area Abbreviations'!B:B,'Area Abbreviations'!A:A)</f>
        <v>AZ</v>
      </c>
      <c r="D4" t="str">
        <f>_xlfn.XLOOKUP(B4,'Score System'!$D$15:$D$19,'Score System'!$A$15:$A$19,,-1)</f>
        <v>low</v>
      </c>
      <c r="I4" s="23"/>
      <c r="J4" s="23"/>
      <c r="K4" s="23"/>
      <c r="L4" s="23"/>
    </row>
    <row r="5" spans="1:16">
      <c r="A5" t="str">
        <f>'Formatted Overall mix GI'!$A$11</f>
        <v>Arkansas</v>
      </c>
      <c r="B5">
        <f>'Formatted Overall mix GI'!$B$11</f>
        <v>-14.25</v>
      </c>
      <c r="C5" t="str">
        <f>_xlfn.XLOOKUP(A5,'Area Abbreviations'!B:B,'Area Abbreviations'!A:A)</f>
        <v>AR</v>
      </c>
      <c r="D5" t="str">
        <f>_xlfn.XLOOKUP(B5,'Score System'!$D$15:$D$19,'Score System'!$A$15:$A$19,,-1)</f>
        <v>negative</v>
      </c>
    </row>
    <row r="6" spans="1:16">
      <c r="A6" t="str">
        <f>'Formatted Overall mix GI'!$A$13</f>
        <v>California</v>
      </c>
      <c r="B6">
        <f>'Formatted Overall mix GI'!$B$13</f>
        <v>45</v>
      </c>
      <c r="C6" t="str">
        <f>_xlfn.XLOOKUP(A6,'Area Abbreviations'!B:B,'Area Abbreviations'!A:A)</f>
        <v>CA</v>
      </c>
      <c r="D6" t="str">
        <f>_xlfn.XLOOKUP(B6,'Score System'!$D$15:$D$19,'Score System'!$A$15:$A$19,,-1)</f>
        <v>high</v>
      </c>
    </row>
    <row r="7" spans="1:16">
      <c r="A7" t="str">
        <f>'Formatted Overall mix GI'!$A$15</f>
        <v>Colorado</v>
      </c>
      <c r="B7">
        <f>'Formatted Overall mix GI'!$B$15</f>
        <v>45.25</v>
      </c>
      <c r="C7" t="str">
        <f>_xlfn.XLOOKUP(A7,'Area Abbreviations'!B:B,'Area Abbreviations'!A:A)</f>
        <v>CO</v>
      </c>
      <c r="D7" t="str">
        <f>_xlfn.XLOOKUP(B7,'Score System'!$D$15:$D$19,'Score System'!$A$15:$A$19,,-1)</f>
        <v>high</v>
      </c>
    </row>
    <row r="8" spans="1:16">
      <c r="A8" t="str">
        <f>'Formatted Overall mix GI'!$A$17</f>
        <v>Connecticut</v>
      </c>
      <c r="B8">
        <f>'Formatted Overall mix GI'!$B$17</f>
        <v>40.75</v>
      </c>
      <c r="C8" t="str">
        <f>_xlfn.XLOOKUP(A8,'Area Abbreviations'!B:B,'Area Abbreviations'!A:A)</f>
        <v>CT</v>
      </c>
      <c r="D8" t="str">
        <f>_xlfn.XLOOKUP(B8,'Score System'!$D$15:$D$19,'Score System'!$A$15:$A$19,,-1)</f>
        <v>high</v>
      </c>
    </row>
    <row r="9" spans="1:16">
      <c r="A9" t="str">
        <f>'Formatted Overall mix GI'!$A$19</f>
        <v>Delaware</v>
      </c>
      <c r="B9">
        <f>'Formatted Overall mix GI'!$B$19</f>
        <v>31</v>
      </c>
      <c r="C9" t="str">
        <f>_xlfn.XLOOKUP(A9,'Area Abbreviations'!B:B,'Area Abbreviations'!A:A)</f>
        <v>DE</v>
      </c>
      <c r="D9" t="str">
        <f>_xlfn.XLOOKUP(B9,'Score System'!$D$15:$D$19,'Score System'!$A$15:$A$19,,-1)</f>
        <v>medium</v>
      </c>
    </row>
    <row r="10" spans="1:16">
      <c r="A10" t="str">
        <f>'Formatted Overall mix GI'!$A$21</f>
        <v>District of Columbia</v>
      </c>
      <c r="B10">
        <f>'Formatted Overall mix GI'!$B$21</f>
        <v>40.75</v>
      </c>
      <c r="C10" t="str">
        <f>_xlfn.XLOOKUP(A10,'Area Abbreviations'!B:B,'Area Abbreviations'!A:A)</f>
        <v>DC</v>
      </c>
      <c r="D10" t="str">
        <f>_xlfn.XLOOKUP(B10,'Score System'!$D$15:$D$19,'Score System'!$A$15:$A$19,,-1)</f>
        <v>high</v>
      </c>
    </row>
    <row r="11" spans="1:16">
      <c r="B11">
        <f>B10</f>
        <v>40.75</v>
      </c>
      <c r="C11" t="s">
        <v>316</v>
      </c>
      <c r="D11" t="str">
        <f>D10</f>
        <v>high</v>
      </c>
    </row>
    <row r="12" spans="1:16">
      <c r="A12" t="str">
        <f>'Formatted Overall mix GI'!$A$23</f>
        <v>Florida</v>
      </c>
      <c r="B12">
        <f>'Formatted Overall mix GI'!$B$23</f>
        <v>-3</v>
      </c>
      <c r="C12" t="str">
        <f>_xlfn.XLOOKUP(A12,'Area Abbreviations'!B:B,'Area Abbreviations'!A:A)</f>
        <v>FL</v>
      </c>
      <c r="D12" t="str">
        <f>_xlfn.XLOOKUP(B12,'Score System'!$D$15:$D$19,'Score System'!$A$15:$A$19,,-1)</f>
        <v>negative</v>
      </c>
    </row>
    <row r="13" spans="1:16">
      <c r="A13" t="str">
        <f>'Formatted Overall mix GI'!$A$25</f>
        <v>Georgia</v>
      </c>
      <c r="B13">
        <f>'Formatted Overall mix GI'!$B$25</f>
        <v>-0.75</v>
      </c>
      <c r="C13" t="str">
        <f>_xlfn.XLOOKUP(A13,'Area Abbreviations'!B:B,'Area Abbreviations'!A:A)</f>
        <v>GA</v>
      </c>
      <c r="D13" t="str">
        <f>_xlfn.XLOOKUP(B13,'Score System'!$D$15:$D$19,'Score System'!$A$15:$A$19,,-1)</f>
        <v>negative</v>
      </c>
    </row>
    <row r="14" spans="1:16">
      <c r="A14" t="str">
        <f>'Formatted Overall mix GI'!$A$27</f>
        <v>Guam</v>
      </c>
      <c r="B14">
        <f>'Formatted Overall mix GI'!$B$27</f>
        <v>4.75</v>
      </c>
      <c r="C14" t="str">
        <f>_xlfn.XLOOKUP(A14,'Area Abbreviations'!B:B,'Area Abbreviations'!A:A)</f>
        <v>GU</v>
      </c>
      <c r="D14" t="str">
        <f>_xlfn.XLOOKUP(B14,'Score System'!$D$15:$D$19,'Score System'!$A$15:$A$19,,-1)</f>
        <v>low</v>
      </c>
    </row>
    <row r="15" spans="1:16">
      <c r="A15" t="str">
        <f>'Formatted Overall mix GI'!$A$29</f>
        <v>Hawaii</v>
      </c>
      <c r="B15">
        <f>'Formatted Overall mix GI'!$B$29</f>
        <v>33.25</v>
      </c>
      <c r="C15" t="str">
        <f>_xlfn.XLOOKUP(A15,'Area Abbreviations'!B:B,'Area Abbreviations'!A:A)</f>
        <v>HI</v>
      </c>
      <c r="D15" t="str">
        <f>_xlfn.XLOOKUP(B15,'Score System'!$D$15:$D$19,'Score System'!$A$15:$A$19,,-1)</f>
        <v>medium</v>
      </c>
    </row>
    <row r="16" spans="1:16">
      <c r="A16" t="str">
        <f>'Formatted Overall mix GI'!$A$31</f>
        <v>Idaho</v>
      </c>
      <c r="B16">
        <f>'Formatted Overall mix GI'!$B$31</f>
        <v>-11.5</v>
      </c>
      <c r="C16" t="str">
        <f>_xlfn.XLOOKUP(A16,'Area Abbreviations'!B:B,'Area Abbreviations'!A:A)</f>
        <v>ID</v>
      </c>
      <c r="D16" t="str">
        <f>_xlfn.XLOOKUP(B16,'Score System'!$D$15:$D$19,'Score System'!$A$15:$A$19,,-1)</f>
        <v>negative</v>
      </c>
    </row>
    <row r="17" spans="1:4">
      <c r="A17" t="str">
        <f>'Formatted Overall mix GI'!$A$33</f>
        <v>Illinois</v>
      </c>
      <c r="B17">
        <f>'Formatted Overall mix GI'!$B$33</f>
        <v>45</v>
      </c>
      <c r="C17" t="str">
        <f>_xlfn.XLOOKUP(A17,'Area Abbreviations'!B:B,'Area Abbreviations'!A:A)</f>
        <v>IL</v>
      </c>
      <c r="D17" t="str">
        <f>_xlfn.XLOOKUP(B17,'Score System'!$D$15:$D$19,'Score System'!$A$15:$A$19,,-1)</f>
        <v>high</v>
      </c>
    </row>
    <row r="18" spans="1:4">
      <c r="A18" t="str">
        <f>'Formatted Overall mix GI'!$A$35</f>
        <v>Indiana</v>
      </c>
      <c r="B18">
        <f>'Formatted Overall mix GI'!$B$35</f>
        <v>-2.75</v>
      </c>
      <c r="C18" t="str">
        <f>_xlfn.XLOOKUP(A18,'Area Abbreviations'!B:B,'Area Abbreviations'!A:A)</f>
        <v>IN</v>
      </c>
      <c r="D18" t="str">
        <f>_xlfn.XLOOKUP(B18,'Score System'!$D$15:$D$19,'Score System'!$A$15:$A$19,,-1)</f>
        <v>negative</v>
      </c>
    </row>
    <row r="19" spans="1:4">
      <c r="A19" t="str">
        <f>'Formatted Overall mix GI'!$A$37</f>
        <v>Iowa</v>
      </c>
      <c r="B19">
        <f>'Formatted Overall mix GI'!$B$37</f>
        <v>4.5</v>
      </c>
      <c r="C19" t="str">
        <f>_xlfn.XLOOKUP(A19,'Area Abbreviations'!B:B,'Area Abbreviations'!A:A)</f>
        <v>IA</v>
      </c>
      <c r="D19" t="str">
        <f>_xlfn.XLOOKUP(B19,'Score System'!$D$15:$D$19,'Score System'!$A$15:$A$19,,-1)</f>
        <v>low</v>
      </c>
    </row>
    <row r="20" spans="1:4">
      <c r="A20" t="str">
        <f>'Formatted Overall mix GI'!$A$39</f>
        <v>Kansas</v>
      </c>
      <c r="B20">
        <f>'Formatted Overall mix GI'!$B$39</f>
        <v>2.5</v>
      </c>
      <c r="C20" t="str">
        <f>_xlfn.XLOOKUP(A20,'Area Abbreviations'!B:B,'Area Abbreviations'!A:A)</f>
        <v>KS</v>
      </c>
      <c r="D20" t="str">
        <f>_xlfn.XLOOKUP(B20,'Score System'!$D$15:$D$19,'Score System'!$A$15:$A$19,,-1)</f>
        <v>low</v>
      </c>
    </row>
    <row r="21" spans="1:4">
      <c r="A21" t="str">
        <f>'Formatted Overall mix GI'!$A$41</f>
        <v>Kentucky</v>
      </c>
      <c r="B21">
        <f>'Formatted Overall mix GI'!$B$41</f>
        <v>4.75</v>
      </c>
      <c r="C21" t="str">
        <f>_xlfn.XLOOKUP(A21,'Area Abbreviations'!B:B,'Area Abbreviations'!A:A)</f>
        <v>KY</v>
      </c>
      <c r="D21" t="str">
        <f>_xlfn.XLOOKUP(B21,'Score System'!$D$15:$D$19,'Score System'!$A$15:$A$19,,-1)</f>
        <v>low</v>
      </c>
    </row>
    <row r="22" spans="1:4">
      <c r="A22" t="str">
        <f>'Formatted Overall mix GI'!$A$43</f>
        <v>Louisiana</v>
      </c>
      <c r="B22">
        <f>'Formatted Overall mix GI'!$B$43</f>
        <v>-6.75</v>
      </c>
      <c r="C22" t="str">
        <f>_xlfn.XLOOKUP(A22,'Area Abbreviations'!B:B,'Area Abbreviations'!A:A)</f>
        <v>LA</v>
      </c>
      <c r="D22" t="str">
        <f>_xlfn.XLOOKUP(B22,'Score System'!$D$15:$D$19,'Score System'!$A$15:$A$19,,-1)</f>
        <v>negative</v>
      </c>
    </row>
    <row r="23" spans="1:4">
      <c r="A23" t="str">
        <f>'Formatted Overall mix GI'!$A$45</f>
        <v>Maine</v>
      </c>
      <c r="B23">
        <f>'Formatted Overall mix GI'!$B$45</f>
        <v>44.5</v>
      </c>
      <c r="C23" t="str">
        <f>_xlfn.XLOOKUP(A23,'Area Abbreviations'!B:B,'Area Abbreviations'!A:A)</f>
        <v>ME</v>
      </c>
      <c r="D23" t="str">
        <f>_xlfn.XLOOKUP(B23,'Score System'!$D$15:$D$19,'Score System'!$A$15:$A$19,,-1)</f>
        <v>high</v>
      </c>
    </row>
    <row r="24" spans="1:4">
      <c r="A24" t="str">
        <f>'Formatted Overall mix GI'!$A$47</f>
        <v>Maryland</v>
      </c>
      <c r="B24">
        <f>'Formatted Overall mix GI'!$B$47</f>
        <v>43</v>
      </c>
      <c r="C24" t="str">
        <f>_xlfn.XLOOKUP(A24,'Area Abbreviations'!B:B,'Area Abbreviations'!A:A)</f>
        <v>MD</v>
      </c>
      <c r="D24" t="str">
        <f>_xlfn.XLOOKUP(B24,'Score System'!$D$15:$D$19,'Score System'!$A$15:$A$19,,-1)</f>
        <v>high</v>
      </c>
    </row>
    <row r="25" spans="1:4">
      <c r="A25" t="str">
        <f>'Formatted Overall mix GI'!$A$49</f>
        <v>Massachusetts</v>
      </c>
      <c r="B25">
        <f>'Formatted Overall mix GI'!$B$49</f>
        <v>40</v>
      </c>
      <c r="C25" t="str">
        <f>_xlfn.XLOOKUP(A25,'Area Abbreviations'!B:B,'Area Abbreviations'!A:A)</f>
        <v>MA</v>
      </c>
      <c r="D25" t="str">
        <f>_xlfn.XLOOKUP(B25,'Score System'!$D$15:$D$19,'Score System'!$A$15:$A$19,,-1)</f>
        <v>high</v>
      </c>
    </row>
    <row r="26" spans="1:4">
      <c r="A26" t="str">
        <f>'Formatted Overall mix GI'!$A$51</f>
        <v>Michigan</v>
      </c>
      <c r="B26">
        <f>'Formatted Overall mix GI'!$B$51</f>
        <v>30</v>
      </c>
      <c r="C26" t="str">
        <f>_xlfn.XLOOKUP(A26,'Area Abbreviations'!B:B,'Area Abbreviations'!A:A)</f>
        <v>MI</v>
      </c>
      <c r="D26" t="str">
        <f>_xlfn.XLOOKUP(B26,'Score System'!$D$15:$D$19,'Score System'!$A$15:$A$19,,-1)</f>
        <v>medium</v>
      </c>
    </row>
    <row r="27" spans="1:4">
      <c r="A27" t="str">
        <f>'Formatted Overall mix GI'!$A$53</f>
        <v>Minnesota</v>
      </c>
      <c r="B27">
        <f>'Formatted Overall mix GI'!$B$53</f>
        <v>36.75</v>
      </c>
      <c r="C27" t="str">
        <f>_xlfn.XLOOKUP(A27,'Area Abbreviations'!B:B,'Area Abbreviations'!A:A)</f>
        <v>MN</v>
      </c>
      <c r="D27" t="str">
        <f>_xlfn.XLOOKUP(B27,'Score System'!$D$15:$D$19,'Score System'!$A$15:$A$19,,-1)</f>
        <v>medium</v>
      </c>
    </row>
    <row r="28" spans="1:4">
      <c r="A28" t="str">
        <f>'Formatted Overall mix GI'!$A$55</f>
        <v>Mississippi</v>
      </c>
      <c r="B28">
        <f>'Formatted Overall mix GI'!$B$55</f>
        <v>-7.5</v>
      </c>
      <c r="C28" t="str">
        <f>_xlfn.XLOOKUP(A28,'Area Abbreviations'!B:B,'Area Abbreviations'!A:A)</f>
        <v>MS</v>
      </c>
      <c r="D28" t="str">
        <f>_xlfn.XLOOKUP(B28,'Score System'!$D$15:$D$19,'Score System'!$A$15:$A$19,,-1)</f>
        <v>negative</v>
      </c>
    </row>
    <row r="29" spans="1:4">
      <c r="A29" t="str">
        <f>'Formatted Overall mix GI'!$A$57</f>
        <v>Missouri</v>
      </c>
      <c r="B29">
        <f>'Formatted Overall mix GI'!$B$57</f>
        <v>-1.5</v>
      </c>
      <c r="C29" t="str">
        <f>_xlfn.XLOOKUP(A29,'Area Abbreviations'!B:B,'Area Abbreviations'!A:A)</f>
        <v>MO</v>
      </c>
      <c r="D29" t="str">
        <f>_xlfn.XLOOKUP(B29,'Score System'!$D$15:$D$19,'Score System'!$A$15:$A$19,,-1)</f>
        <v>negative</v>
      </c>
    </row>
    <row r="30" spans="1:4">
      <c r="A30" t="str">
        <f>'Formatted Overall mix GI'!$A$59</f>
        <v>Montana</v>
      </c>
      <c r="B30">
        <f>'Formatted Overall mix GI'!$B$59</f>
        <v>-3.75</v>
      </c>
      <c r="C30" t="str">
        <f>_xlfn.XLOOKUP(A30,'Area Abbreviations'!B:B,'Area Abbreviations'!A:A)</f>
        <v>MT</v>
      </c>
      <c r="D30" t="str">
        <f>_xlfn.XLOOKUP(B30,'Score System'!$D$15:$D$19,'Score System'!$A$15:$A$19,,-1)</f>
        <v>negative</v>
      </c>
    </row>
    <row r="31" spans="1:4">
      <c r="A31" t="str">
        <f>'Formatted Overall mix GI'!$A$61</f>
        <v>Nebraska</v>
      </c>
      <c r="B31">
        <f>'Formatted Overall mix GI'!$B$61</f>
        <v>1.25</v>
      </c>
      <c r="C31" t="str">
        <f>_xlfn.XLOOKUP(A31,'Area Abbreviations'!B:B,'Area Abbreviations'!A:A)</f>
        <v>NE</v>
      </c>
      <c r="D31" t="str">
        <f>_xlfn.XLOOKUP(B31,'Score System'!$D$15:$D$19,'Score System'!$A$15:$A$19,,-1)</f>
        <v>low</v>
      </c>
    </row>
    <row r="32" spans="1:4">
      <c r="A32" t="str">
        <f>'Formatted Overall mix GI'!$A$63</f>
        <v>Nevada</v>
      </c>
      <c r="B32">
        <f>'Formatted Overall mix GI'!$B$63</f>
        <v>42.25</v>
      </c>
      <c r="C32" t="str">
        <f>_xlfn.XLOOKUP(A32,'Area Abbreviations'!B:B,'Area Abbreviations'!A:A)</f>
        <v>NV</v>
      </c>
      <c r="D32" t="str">
        <f>_xlfn.XLOOKUP(B32,'Score System'!$D$15:$D$19,'Score System'!$A$15:$A$19,,-1)</f>
        <v>high</v>
      </c>
    </row>
    <row r="33" spans="1:4">
      <c r="A33" t="str">
        <f>'Formatted Overall mix GI'!$A$65</f>
        <v>New Hampshire</v>
      </c>
      <c r="B33">
        <f>'Formatted Overall mix GI'!$B$65</f>
        <v>32</v>
      </c>
      <c r="C33" t="str">
        <f>_xlfn.XLOOKUP(A33,'Area Abbreviations'!B:B,'Area Abbreviations'!A:A)</f>
        <v>NH</v>
      </c>
      <c r="D33" t="str">
        <f>_xlfn.XLOOKUP(B33,'Score System'!$D$15:$D$19,'Score System'!$A$15:$A$19,,-1)</f>
        <v>medium</v>
      </c>
    </row>
    <row r="34" spans="1:4">
      <c r="A34" t="str">
        <f>'Formatted Overall mix GI'!$A$67</f>
        <v>New Jersey</v>
      </c>
      <c r="B34">
        <f>'Formatted Overall mix GI'!$B$67</f>
        <v>41.75</v>
      </c>
      <c r="C34" t="str">
        <f>_xlfn.XLOOKUP(A34,'Area Abbreviations'!B:B,'Area Abbreviations'!A:A)</f>
        <v>NJ</v>
      </c>
      <c r="D34" t="str">
        <f>_xlfn.XLOOKUP(B34,'Score System'!$D$15:$D$19,'Score System'!$A$15:$A$19,,-1)</f>
        <v>high</v>
      </c>
    </row>
    <row r="35" spans="1:4">
      <c r="A35" t="str">
        <f>'Formatted Overall mix GI'!$A$69</f>
        <v>New Mexico</v>
      </c>
      <c r="B35">
        <f>'Formatted Overall mix GI'!$B$69</f>
        <v>36</v>
      </c>
      <c r="C35" t="str">
        <f>_xlfn.XLOOKUP(A35,'Area Abbreviations'!B:B,'Area Abbreviations'!A:A)</f>
        <v>NM</v>
      </c>
      <c r="D35" t="str">
        <f>_xlfn.XLOOKUP(B35,'Score System'!$D$15:$D$19,'Score System'!$A$15:$A$19,,-1)</f>
        <v>medium</v>
      </c>
    </row>
    <row r="36" spans="1:4">
      <c r="A36" t="str">
        <f>'Formatted Overall mix GI'!$A$71</f>
        <v>New York</v>
      </c>
      <c r="B36">
        <f>'Formatted Overall mix GI'!$B$71</f>
        <v>44.5</v>
      </c>
      <c r="C36" t="str">
        <f>_xlfn.XLOOKUP(A36,'Area Abbreviations'!B:B,'Area Abbreviations'!A:A)</f>
        <v>NY</v>
      </c>
      <c r="D36" t="str">
        <f>_xlfn.XLOOKUP(B36,'Score System'!$D$15:$D$19,'Score System'!$A$15:$A$19,,-1)</f>
        <v>high</v>
      </c>
    </row>
    <row r="37" spans="1:4">
      <c r="A37" t="str">
        <f>'Formatted Overall mix GI'!$A$73</f>
        <v>North Carolina</v>
      </c>
      <c r="B37">
        <f>'Formatted Overall mix GI'!$B$73</f>
        <v>6.25</v>
      </c>
      <c r="C37" t="str">
        <f>_xlfn.XLOOKUP(A37,'Area Abbreviations'!B:B,'Area Abbreviations'!A:A)</f>
        <v>NC</v>
      </c>
      <c r="D37" t="str">
        <f>_xlfn.XLOOKUP(B37,'Score System'!$D$15:$D$19,'Score System'!$A$15:$A$19,,-1)</f>
        <v>low</v>
      </c>
    </row>
    <row r="38" spans="1:4">
      <c r="A38" t="str">
        <f>'Formatted Overall mix GI'!$A$75</f>
        <v>North Dakota</v>
      </c>
      <c r="B38">
        <f>'Formatted Overall mix GI'!$B$75</f>
        <v>10.5</v>
      </c>
      <c r="C38" t="str">
        <f>_xlfn.XLOOKUP(A38,'Area Abbreviations'!B:B,'Area Abbreviations'!A:A)</f>
        <v>ND</v>
      </c>
      <c r="D38" t="str">
        <f>_xlfn.XLOOKUP(B38,'Score System'!$D$15:$D$19,'Score System'!$A$15:$A$19,,-1)</f>
        <v>low</v>
      </c>
    </row>
    <row r="39" spans="1:4">
      <c r="A39" t="str">
        <f>'Formatted Overall mix GI'!$A$77</f>
        <v>Northern Mariana Islands</v>
      </c>
      <c r="B39">
        <f>'Formatted Overall mix GI'!$B$77</f>
        <v>2.75</v>
      </c>
      <c r="C39" t="str">
        <f>_xlfn.XLOOKUP(A39,'Area Abbreviations'!B:B,'Area Abbreviations'!A:A)</f>
        <v>MP</v>
      </c>
      <c r="D39" t="str">
        <f>_xlfn.XLOOKUP(B39,'Score System'!$D$15:$D$19,'Score System'!$A$15:$A$19,,-1)</f>
        <v>low</v>
      </c>
    </row>
    <row r="40" spans="1:4">
      <c r="A40" t="str">
        <f>'Formatted Overall mix GI'!$A$79</f>
        <v>Ohio</v>
      </c>
      <c r="B40">
        <f>'Formatted Overall mix GI'!$B$79</f>
        <v>1.75</v>
      </c>
      <c r="C40" t="str">
        <f>_xlfn.XLOOKUP(A40,'Area Abbreviations'!B:B,'Area Abbreviations'!A:A)</f>
        <v>OH</v>
      </c>
      <c r="D40" t="str">
        <f>_xlfn.XLOOKUP(B40,'Score System'!$D$15:$D$19,'Score System'!$A$15:$A$19,,-1)</f>
        <v>low</v>
      </c>
    </row>
    <row r="41" spans="1:4">
      <c r="A41" t="str">
        <f>'Formatted Overall mix GI'!$A$81</f>
        <v>Oklahoma</v>
      </c>
      <c r="B41">
        <f>'Formatted Overall mix GI'!$B$81</f>
        <v>-5.5</v>
      </c>
      <c r="C41" t="str">
        <f>_xlfn.XLOOKUP(A41,'Area Abbreviations'!B:B,'Area Abbreviations'!A:A)</f>
        <v>OK</v>
      </c>
      <c r="D41" t="str">
        <f>_xlfn.XLOOKUP(B41,'Score System'!$D$15:$D$19,'Score System'!$A$15:$A$19,,-1)</f>
        <v>negative</v>
      </c>
    </row>
    <row r="42" spans="1:4">
      <c r="A42" t="str">
        <f>'Formatted Overall mix GI'!$A$83</f>
        <v>Oregon</v>
      </c>
      <c r="B42">
        <f>'Formatted Overall mix GI'!$B$83</f>
        <v>39.5</v>
      </c>
      <c r="C42" t="str">
        <f>_xlfn.XLOOKUP(A42,'Area Abbreviations'!B:B,'Area Abbreviations'!A:A)</f>
        <v>OR</v>
      </c>
      <c r="D42" t="str">
        <f>_xlfn.XLOOKUP(B42,'Score System'!$D$15:$D$19,'Score System'!$A$15:$A$19,,-1)</f>
        <v>high</v>
      </c>
    </row>
    <row r="43" spans="1:4">
      <c r="A43" t="str">
        <f>'Formatted Overall mix GI'!$A$85</f>
        <v>Pennsylvania</v>
      </c>
      <c r="B43">
        <f>'Formatted Overall mix GI'!$B$85</f>
        <v>16.75</v>
      </c>
      <c r="C43" t="str">
        <f>_xlfn.XLOOKUP(A43,'Area Abbreviations'!B:B,'Area Abbreviations'!A:A)</f>
        <v>PA</v>
      </c>
      <c r="D43" t="str">
        <f>_xlfn.XLOOKUP(B43,'Score System'!$D$15:$D$19,'Score System'!$A$15:$A$19,,-1)</f>
        <v>fair</v>
      </c>
    </row>
    <row r="44" spans="1:4">
      <c r="A44" t="str">
        <f>'Formatted Overall mix GI'!$A$87</f>
        <v>Puerto Rico</v>
      </c>
      <c r="B44">
        <f>'Formatted Overall mix GI'!$B$87</f>
        <v>19.25</v>
      </c>
      <c r="C44" t="str">
        <f>_xlfn.XLOOKUP(A44,'Area Abbreviations'!B:B,'Area Abbreviations'!A:A)</f>
        <v>PR</v>
      </c>
      <c r="D44" t="str">
        <f>_xlfn.XLOOKUP(B44,'Score System'!$D$15:$D$19,'Score System'!$A$15:$A$19,,-1)</f>
        <v>fair</v>
      </c>
    </row>
    <row r="45" spans="1:4">
      <c r="A45" t="str">
        <f>'Formatted Overall mix GI'!$A$89</f>
        <v>Rhode Island</v>
      </c>
      <c r="B45">
        <f>'Formatted Overall mix GI'!$B$89</f>
        <v>38</v>
      </c>
      <c r="C45" t="str">
        <f>_xlfn.XLOOKUP(A45,'Area Abbreviations'!B:B,'Area Abbreviations'!A:A)</f>
        <v>RI</v>
      </c>
      <c r="D45" t="str">
        <f>_xlfn.XLOOKUP(B45,'Score System'!$D$15:$D$19,'Score System'!$A$15:$A$19,,-1)</f>
        <v>high</v>
      </c>
    </row>
    <row r="46" spans="1:4">
      <c r="A46" t="str">
        <f>'Formatted Overall mix GI'!$A$91</f>
        <v>South Carolina</v>
      </c>
      <c r="B46">
        <f>'Formatted Overall mix GI'!$B$91</f>
        <v>-9.75</v>
      </c>
      <c r="C46" t="str">
        <f>_xlfn.XLOOKUP(A46,'Area Abbreviations'!B:B,'Area Abbreviations'!A:A)</f>
        <v>SC</v>
      </c>
      <c r="D46" t="str">
        <f>_xlfn.XLOOKUP(B46,'Score System'!$D$15:$D$19,'Score System'!$A$15:$A$19,,-1)</f>
        <v>negative</v>
      </c>
    </row>
    <row r="47" spans="1:4">
      <c r="A47" t="str">
        <f>'Formatted Overall mix GI'!$A$93</f>
        <v>South Dakota</v>
      </c>
      <c r="B47">
        <f>'Formatted Overall mix GI'!$B$93</f>
        <v>-7.5</v>
      </c>
      <c r="C47" t="str">
        <f>_xlfn.XLOOKUP(A47,'Area Abbreviations'!B:B,'Area Abbreviations'!A:A)</f>
        <v>SD</v>
      </c>
      <c r="D47" t="str">
        <f>_xlfn.XLOOKUP(B47,'Score System'!$D$15:$D$19,'Score System'!$A$15:$A$19,,-1)</f>
        <v>negative</v>
      </c>
    </row>
    <row r="48" spans="1:4">
      <c r="A48" t="str">
        <f>'Formatted Overall mix GI'!$A$95</f>
        <v>Tennessee</v>
      </c>
      <c r="B48">
        <f>'Formatted Overall mix GI'!$B$95</f>
        <v>-14</v>
      </c>
      <c r="C48" t="str">
        <f>_xlfn.XLOOKUP(A48,'Area Abbreviations'!B:B,'Area Abbreviations'!A:A)</f>
        <v>TN</v>
      </c>
      <c r="D48" t="str">
        <f>_xlfn.XLOOKUP(B48,'Score System'!$D$15:$D$19,'Score System'!$A$15:$A$19,,-1)</f>
        <v>negative</v>
      </c>
    </row>
    <row r="49" spans="1:4">
      <c r="A49" t="str">
        <f>'Formatted Overall mix GI'!$A$97</f>
        <v>Texas</v>
      </c>
      <c r="B49">
        <f>'Formatted Overall mix GI'!$B$97</f>
        <v>-6.75</v>
      </c>
      <c r="C49" t="str">
        <f>_xlfn.XLOOKUP(A49,'Area Abbreviations'!B:B,'Area Abbreviations'!A:A)</f>
        <v>TX</v>
      </c>
      <c r="D49" t="str">
        <f>_xlfn.XLOOKUP(B49,'Score System'!$D$15:$D$19,'Score System'!$A$15:$A$19,,-1)</f>
        <v>negative</v>
      </c>
    </row>
    <row r="50" spans="1:4">
      <c r="A50" t="str">
        <f>'Formatted Overall mix GI'!$A$99</f>
        <v>U.S. Virgin Islands</v>
      </c>
      <c r="B50">
        <f>'Formatted Overall mix GI'!$B$99</f>
        <v>15</v>
      </c>
      <c r="C50" t="str">
        <f>_xlfn.XLOOKUP(A50,'Area Abbreviations'!B:B,'Area Abbreviations'!A:A)</f>
        <v>VI</v>
      </c>
      <c r="D50" t="str">
        <f>_xlfn.XLOOKUP(B50,'Score System'!$D$15:$D$19,'Score System'!$A$15:$A$19,,-1)</f>
        <v>fair</v>
      </c>
    </row>
    <row r="51" spans="1:4">
      <c r="A51" s="5" t="s">
        <v>317</v>
      </c>
      <c r="B51">
        <f>B50</f>
        <v>15</v>
      </c>
      <c r="D51" t="str">
        <f>D50</f>
        <v>fair</v>
      </c>
    </row>
    <row r="52" spans="1:4">
      <c r="A52" s="5" t="s">
        <v>304</v>
      </c>
      <c r="B52">
        <f>B50</f>
        <v>15</v>
      </c>
      <c r="D52" t="str">
        <f>D50</f>
        <v>fair</v>
      </c>
    </row>
    <row r="53" spans="1:4">
      <c r="A53" t="str">
        <f>'Formatted Overall mix GI'!$A$101</f>
        <v>Utah</v>
      </c>
      <c r="B53">
        <f>'Formatted Overall mix GI'!$B$101</f>
        <v>10</v>
      </c>
      <c r="C53" t="str">
        <f>_xlfn.XLOOKUP(A53,'Area Abbreviations'!B:B,'Area Abbreviations'!A:A)</f>
        <v>UT</v>
      </c>
      <c r="D53" t="str">
        <f>_xlfn.XLOOKUP(B53,'Score System'!$D$15:$D$19,'Score System'!$A$15:$A$19,,-1)</f>
        <v>low</v>
      </c>
    </row>
    <row r="54" spans="1:4">
      <c r="A54" t="str">
        <f>'Formatted Overall mix GI'!$A$103</f>
        <v>Vermont</v>
      </c>
      <c r="B54">
        <f>'Formatted Overall mix GI'!$B$103</f>
        <v>39.5</v>
      </c>
      <c r="C54" t="str">
        <f>_xlfn.XLOOKUP(A54,'Area Abbreviations'!B:B,'Area Abbreviations'!A:A)</f>
        <v>VT</v>
      </c>
      <c r="D54" t="str">
        <f>_xlfn.XLOOKUP(B54,'Score System'!$D$15:$D$19,'Score System'!$A$15:$A$19,,-1)</f>
        <v>high</v>
      </c>
    </row>
    <row r="55" spans="1:4">
      <c r="A55" t="str">
        <f>'Formatted Overall mix GI'!$A$105</f>
        <v>Virginia</v>
      </c>
      <c r="B55">
        <f>'Formatted Overall mix GI'!$B$105</f>
        <v>24</v>
      </c>
      <c r="C55" t="str">
        <f>_xlfn.XLOOKUP(A55,'Area Abbreviations'!B:B,'Area Abbreviations'!A:A)</f>
        <v>VA</v>
      </c>
      <c r="D55" t="str">
        <f>_xlfn.XLOOKUP(B55,'Score System'!$D$15:$D$19,'Score System'!$A$15:$A$19,,-1)</f>
        <v>fair</v>
      </c>
    </row>
    <row r="56" spans="1:4">
      <c r="A56" t="str">
        <f>'Formatted Overall mix GI'!$A$107</f>
        <v>Washington</v>
      </c>
      <c r="B56">
        <f>'Formatted Overall mix GI'!$B$107</f>
        <v>40.5</v>
      </c>
      <c r="C56" t="str">
        <f>_xlfn.XLOOKUP(A56,'Area Abbreviations'!B:B,'Area Abbreviations'!A:A)</f>
        <v>WA</v>
      </c>
      <c r="D56" t="str">
        <f>_xlfn.XLOOKUP(B56,'Score System'!$D$15:$D$19,'Score System'!$A$15:$A$19,,-1)</f>
        <v>high</v>
      </c>
    </row>
    <row r="57" spans="1:4">
      <c r="A57" t="str">
        <f>'Formatted Overall mix GI'!$A$109</f>
        <v>West Virginia</v>
      </c>
      <c r="B57">
        <f>'Formatted Overall mix GI'!$B$109</f>
        <v>-0.75</v>
      </c>
      <c r="C57" t="str">
        <f>_xlfn.XLOOKUP(A57,'Area Abbreviations'!B:B,'Area Abbreviations'!A:A)</f>
        <v>WV</v>
      </c>
      <c r="D57" t="str">
        <f>_xlfn.XLOOKUP(B57,'Score System'!$D$15:$D$19,'Score System'!$A$15:$A$19,,-1)</f>
        <v>negative</v>
      </c>
    </row>
    <row r="58" spans="1:4">
      <c r="A58" t="str">
        <f>'Formatted Overall mix GI'!$A$111</f>
        <v>Wisconsin</v>
      </c>
      <c r="B58">
        <f>'Formatted Overall mix GI'!$B$111</f>
        <v>18.25</v>
      </c>
      <c r="C58" t="str">
        <f>_xlfn.XLOOKUP(A58,'Area Abbreviations'!B:B,'Area Abbreviations'!A:A)</f>
        <v>WI</v>
      </c>
      <c r="D58" t="str">
        <f>_xlfn.XLOOKUP(B58,'Score System'!$D$15:$D$19,'Score System'!$A$15:$A$19,,-1)</f>
        <v>fair</v>
      </c>
    </row>
    <row r="59" spans="1:4">
      <c r="A59" t="str">
        <f>'Formatted Overall mix GI'!$A$113</f>
        <v>Wyoming</v>
      </c>
      <c r="B59">
        <f>'Formatted Overall mix GI'!$B$113</f>
        <v>-6</v>
      </c>
      <c r="C59" t="str">
        <f>_xlfn.XLOOKUP(A59,'Area Abbreviations'!B:B,'Area Abbreviations'!A:A)</f>
        <v>WY</v>
      </c>
      <c r="D59" t="str">
        <f>_xlfn.XLOOKUP(B59,'Score System'!$D$15:$D$19,'Score System'!$A$15:$A$19,,-1)</f>
        <v>negative</v>
      </c>
    </row>
    <row r="67" ht="14.5" customHeight="1"/>
    <row r="68" ht="14.5" customHeight="1"/>
  </sheetData>
  <mergeCells count="1">
    <mergeCell ref="I1:O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C35B2D-D0F4-44F6-BE9D-383FB8B8E1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State Data 2-13-202</vt:lpstr>
      <vt:lpstr>Score System</vt:lpstr>
      <vt:lpstr>Area Abbreviations</vt:lpstr>
      <vt:lpstr>Formatted Overall mix GI</vt:lpstr>
      <vt:lpstr>Gender Identity Scores</vt:lpstr>
      <vt:lpstr>Overall Tally 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Sculthorpe, Connor</dc:creator>
  <cp:lastModifiedBy>Sculthorpe, Connor</cp:lastModifiedBy>
  <dcterms:created xsi:type="dcterms:W3CDTF">2026-02-13T16:48:43Z</dcterms:created>
  <dcterms:modified xsi:type="dcterms:W3CDTF">2026-02-15T21:55:32Z</dcterms:modified>
</cp:coreProperties>
</file>